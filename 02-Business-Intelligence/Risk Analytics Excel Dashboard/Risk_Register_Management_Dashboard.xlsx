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A60851-C883-4FC0-8E8A-9BCBF6FCCC4F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Introduction" sheetId="1" r:id="rId1"/>
    <sheet name="Risk Register" sheetId="2" r:id="rId2"/>
    <sheet name="Dashboard Data" sheetId="3" r:id="rId3"/>
    <sheet name="Executive Dashboard" sheetId="4" r:id="rId4"/>
    <sheet name="Lookup Lists" sheetId="5" r:id="rId5"/>
  </sheets>
  <definedNames>
    <definedName name="AssetCategoryList">'Lookup Lists'!$A$2:$A$7</definedName>
    <definedName name="ConsequenceScale">'Lookup Lists'!$E$2:$E$4</definedName>
    <definedName name="CritCat">'Dashboard Data'!$B$6</definedName>
    <definedName name="CritStatus">'Dashboard Data'!$B$7</definedName>
    <definedName name="FilterCategory">'Executive Dashboard'!$D$15</definedName>
    <definedName name="FilterCategoryList">'Lookup Lists'!$P$2:$P$8</definedName>
    <definedName name="FilterStatus">'Executive Dashboard'!$S$15</definedName>
    <definedName name="FilterStatusList">'Lookup Lists'!$Q$2:$Q$5</definedName>
    <definedName name="HighThreshold">'Lookup Lists'!$N$2</definedName>
    <definedName name="LikelihoodScale">'Lookup Lists'!$C$2:$C$4</definedName>
    <definedName name="MediumThreshold">'Lookup Lists'!$N$3</definedName>
    <definedName name="OwnerList">'Lookup Lists'!$K$2:$K$6</definedName>
    <definedName name="_xlnm.Print_Area" localSheetId="3">'Executive Dashboard'!$A$1:$BG$60</definedName>
    <definedName name="RevHigh">'Lookup Lists'!$N$4</definedName>
    <definedName name="ReviewWindowDays">'Lookup Lists'!$N$7</definedName>
    <definedName name="RevLow">'Lookup Lists'!$N$6</definedName>
    <definedName name="RevMed">'Lookup Lists'!$N$5</definedName>
    <definedName name="StatusList">'Lookup Lists'!$G$2:$G$4</definedName>
    <definedName name="TreatmentOptionList">'Lookup Lists'!$I$2:$I$5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8" i="5" l="1"/>
  <c r="P7" i="5"/>
  <c r="P6" i="5"/>
  <c r="Q5" i="5"/>
  <c r="P5" i="5"/>
  <c r="Q4" i="5"/>
  <c r="P4" i="5"/>
  <c r="Q3" i="5"/>
  <c r="P3" i="5"/>
  <c r="AF7" i="4"/>
  <c r="A24" i="3"/>
  <c r="A23" i="3"/>
  <c r="A22" i="3"/>
  <c r="A21" i="3"/>
  <c r="A20" i="3"/>
  <c r="A16" i="3"/>
  <c r="A15" i="3"/>
  <c r="A14" i="3"/>
  <c r="A13" i="3"/>
  <c r="B12" i="3"/>
  <c r="A12" i="3"/>
  <c r="A11" i="3"/>
  <c r="B7" i="3"/>
  <c r="C12" i="3" s="1"/>
  <c r="B6" i="3"/>
  <c r="D18" i="4" s="1"/>
  <c r="AH12" i="2"/>
  <c r="AF12" i="2"/>
  <c r="T12" i="2"/>
  <c r="Q12" i="2"/>
  <c r="L12" i="2"/>
  <c r="M12" i="2" s="1"/>
  <c r="AH11" i="2"/>
  <c r="AF11" i="2"/>
  <c r="T11" i="2"/>
  <c r="Q11" i="2"/>
  <c r="M11" i="2"/>
  <c r="AD11" i="2" s="1"/>
  <c r="AI11" i="2" s="1"/>
  <c r="L11" i="2"/>
  <c r="AH10" i="2"/>
  <c r="AF10" i="2"/>
  <c r="T10" i="2"/>
  <c r="Q10" i="2"/>
  <c r="L10" i="2"/>
  <c r="M10" i="2" s="1"/>
  <c r="AH9" i="2"/>
  <c r="AF9" i="2"/>
  <c r="T9" i="2"/>
  <c r="Q9" i="2"/>
  <c r="L9" i="2"/>
  <c r="M9" i="2" s="1"/>
  <c r="AH8" i="2"/>
  <c r="AF8" i="2"/>
  <c r="T8" i="2"/>
  <c r="Q8" i="2"/>
  <c r="L8" i="2"/>
  <c r="M8" i="2" s="1"/>
  <c r="AH7" i="2"/>
  <c r="AF7" i="2"/>
  <c r="T7" i="2"/>
  <c r="Q7" i="2"/>
  <c r="L7" i="2"/>
  <c r="M7" i="2" s="1"/>
  <c r="AH6" i="2"/>
  <c r="AF6" i="2"/>
  <c r="T6" i="2"/>
  <c r="Q6" i="2"/>
  <c r="V6" i="2" s="1"/>
  <c r="W6" i="2" s="1"/>
  <c r="N6" i="2"/>
  <c r="M6" i="2"/>
  <c r="AD6" i="2" s="1"/>
  <c r="AI6" i="2" s="1"/>
  <c r="L6" i="2"/>
  <c r="AH5" i="2"/>
  <c r="AF5" i="2"/>
  <c r="T5" i="2"/>
  <c r="Q5" i="2"/>
  <c r="L5" i="2"/>
  <c r="M5" i="2" s="1"/>
  <c r="AH4" i="2"/>
  <c r="AF4" i="2"/>
  <c r="T4" i="2"/>
  <c r="Q4" i="2"/>
  <c r="L4" i="2"/>
  <c r="M4" i="2" s="1"/>
  <c r="AH3" i="2"/>
  <c r="AF3" i="2"/>
  <c r="T3" i="2"/>
  <c r="Q3" i="2"/>
  <c r="M3" i="2"/>
  <c r="N3" i="2" s="1"/>
  <c r="L3" i="2"/>
  <c r="D20" i="3" l="1"/>
  <c r="D22" i="3"/>
  <c r="B23" i="3"/>
  <c r="B21" i="3"/>
  <c r="D24" i="3"/>
  <c r="AL6" i="2"/>
  <c r="AJ6" i="2"/>
  <c r="AD5" i="2"/>
  <c r="AI5" i="2" s="1"/>
  <c r="V5" i="2"/>
  <c r="W5" i="2" s="1"/>
  <c r="N5" i="2"/>
  <c r="AD8" i="2"/>
  <c r="AI8" i="2" s="1"/>
  <c r="V8" i="2"/>
  <c r="N8" i="2"/>
  <c r="N4" i="2"/>
  <c r="AD4" i="2"/>
  <c r="AI4" i="2" s="1"/>
  <c r="V4" i="2"/>
  <c r="W4" i="2" s="1"/>
  <c r="V10" i="2"/>
  <c r="W10" i="2" s="1"/>
  <c r="N10" i="2"/>
  <c r="AD10" i="2"/>
  <c r="AI10" i="2" s="1"/>
  <c r="N9" i="2"/>
  <c r="AD9" i="2"/>
  <c r="AI9" i="2" s="1"/>
  <c r="V9" i="2"/>
  <c r="W9" i="2" s="1"/>
  <c r="AD7" i="2"/>
  <c r="AI7" i="2" s="1"/>
  <c r="N7" i="2"/>
  <c r="V7" i="2"/>
  <c r="W7" i="2" s="1"/>
  <c r="C13" i="3"/>
  <c r="N12" i="2"/>
  <c r="AD12" i="2"/>
  <c r="AI12" i="2" s="1"/>
  <c r="V12" i="2"/>
  <c r="W12" i="2" s="1"/>
  <c r="AJ11" i="2"/>
  <c r="AL11" i="2"/>
  <c r="B15" i="3"/>
  <c r="C21" i="3"/>
  <c r="C23" i="3"/>
  <c r="N11" i="2"/>
  <c r="V3" i="2"/>
  <c r="V11" i="2"/>
  <c r="W11" i="2" s="1"/>
  <c r="C11" i="3"/>
  <c r="AD3" i="2"/>
  <c r="AI3" i="2" s="1"/>
  <c r="R18" i="4" s="1"/>
  <c r="C16" i="3"/>
  <c r="D21" i="3"/>
  <c r="D23" i="3"/>
  <c r="Y18" i="4"/>
  <c r="B20" i="3"/>
  <c r="B22" i="3"/>
  <c r="B24" i="3"/>
  <c r="AF18" i="4"/>
  <c r="C20" i="3"/>
  <c r="C22" i="3"/>
  <c r="C24" i="3"/>
  <c r="AM18" i="4"/>
  <c r="W8" i="2" l="1"/>
  <c r="B16" i="3"/>
  <c r="B13" i="3"/>
  <c r="B11" i="3"/>
  <c r="AL10" i="2"/>
  <c r="AJ10" i="2"/>
  <c r="AL8" i="2"/>
  <c r="AJ8" i="2"/>
  <c r="AL5" i="2"/>
  <c r="AJ5" i="2"/>
  <c r="B14" i="3"/>
  <c r="W3" i="2"/>
  <c r="AL7" i="2"/>
  <c r="AJ7" i="2"/>
  <c r="AJ4" i="2"/>
  <c r="AL4" i="2"/>
  <c r="AJ3" i="2"/>
  <c r="AL3" i="2"/>
  <c r="C14" i="3"/>
  <c r="AL12" i="2"/>
  <c r="AJ12" i="2"/>
  <c r="AL9" i="2"/>
  <c r="AJ9" i="2"/>
  <c r="C15" i="3"/>
  <c r="H12" i="3" l="1"/>
  <c r="H15" i="3"/>
  <c r="G15" i="3"/>
  <c r="G13" i="3"/>
  <c r="H11" i="3"/>
  <c r="H14" i="3"/>
  <c r="G11" i="3"/>
  <c r="G14" i="3"/>
  <c r="G12" i="3"/>
  <c r="H13" i="3"/>
  <c r="K18" i="4"/>
  <c r="AT18" i="4"/>
  <c r="BA18" i="4"/>
</calcChain>
</file>

<file path=xl/sharedStrings.xml><?xml version="1.0" encoding="utf-8"?>
<sst xmlns="http://schemas.openxmlformats.org/spreadsheetml/2006/main" count="389" uniqueCount="278">
  <si>
    <t>BETACODES  -  Integrated Risk Register &amp; Executive Dashboard</t>
  </si>
  <si>
    <t>ISO/IEC 27001:2022  &amp;  ISO 9001:2015  -  Integrated Management System</t>
  </si>
  <si>
    <t>DOCUMENT INFORMATION</t>
  </si>
  <si>
    <t>Client</t>
  </si>
  <si>
    <t>BETACODES</t>
  </si>
  <si>
    <t>Project</t>
  </si>
  <si>
    <t>ISO/IEC 27001:2022 &amp; ISO 9001:2015 Compliance</t>
  </si>
  <si>
    <t>Document Owner</t>
  </si>
  <si>
    <t>Document Title</t>
  </si>
  <si>
    <t>BETACODES-REGISTER-01 - Risk Register V1.1</t>
  </si>
  <si>
    <t>Document Number</t>
  </si>
  <si>
    <t>BETACODES-REGISTER-01</t>
  </si>
  <si>
    <t>Version No</t>
  </si>
  <si>
    <t>V 1.1</t>
  </si>
  <si>
    <t>Classification</t>
  </si>
  <si>
    <t>Confidential</t>
  </si>
  <si>
    <t>WORKBOOK STRUCTURE</t>
  </si>
  <si>
    <t>Executive Dashboard</t>
  </si>
  <si>
    <t>Client-facing one-page view. 6 KPIs, 3 charts, 2 filters. Read-only in practice - edit nothing here except the two filter dropdowns.</t>
  </si>
  <si>
    <t>Risk Register</t>
  </si>
  <si>
    <t>The single source of truth. Type risks here. White cells are inputs; grey italic cells are calculated - do not overwrite them.</t>
  </si>
  <si>
    <t>Dashboard Data</t>
  </si>
  <si>
    <t>Live SUMIFS / COUNTIFS engine feeding the charts. No PivotTables, so nothing needs refreshing.</t>
  </si>
  <si>
    <t>Lookup Lists</t>
  </si>
  <si>
    <t>Governed dropdown lists and the risk-criteria parameters. Yellow cells are policy settings.</t>
  </si>
  <si>
    <t>HOW TO USE</t>
  </si>
  <si>
    <t>1.  Add a risk by typing in the row directly under the last row of the register - the table extends itself and every calculated column fills down automatically.</t>
  </si>
  <si>
    <t>2.  A half-finished row is safe. Every calculated column returns blank until Ref is filled in, so no error can reach the dashboard.</t>
  </si>
  <si>
    <t>3.  All dropdowns read the Lookup Lists sheet. To add a category, owner or status, add it there first (insert a row INSIDE the list, not below it).</t>
  </si>
  <si>
    <t>4.  Risk banding is controlled by the yellow parameter cells on Lookup Lists. Change 18 to 12 and the whole register re-bands instantly - no formula edits.</t>
  </si>
  <si>
    <t>5.  The dashboard has no refresh step. It is built on live formulas, not PivotTables, so it updates the moment the register changes.</t>
  </si>
  <si>
    <t>6.  Overdue and review-due logic uses TODAY(), so the dashboard ages by itself between reviews.</t>
  </si>
  <si>
    <t>RISK SCORING METHOD</t>
  </si>
  <si>
    <t>Asset Value  =  C x I x A          (each rated 1-3, so 1-27)</t>
  </si>
  <si>
    <t>Asset Criticality  =  1 if Asset Value &lt;= 6,  2 if &lt;= 12,  3 otherwise</t>
  </si>
  <si>
    <t>Risk Score  =  Asset Criticality  x  Likelihood Score  x  Consequence Score      (1-27)</t>
  </si>
  <si>
    <t>Risk Level  =  HIGH if score &gt;= 18,  MEDIUM if &gt;= 7,  otherwise LOW      (thresholds on Lookup Lists)</t>
  </si>
  <si>
    <t>Post-Treatment Risk Score uses the same formula with the re-assessed likelihood and consequence.</t>
  </si>
  <si>
    <t>Next Review Date  =  treatment date  +  3 / 6 / 12 months depending on residual risk level (ISO 27001 Cl. 8.2).</t>
  </si>
  <si>
    <t>CHANGES APPLIED IN V1.1</t>
  </si>
  <si>
    <t>Asset Category standardised to the six governed values; the self-referencing dropdown was replaced with a Lookup Lists source.</t>
  </si>
  <si>
    <t>Blank/partial row deleted and every calculated column made blank-safe, removing the errors that were breaking Risk Reduction %.</t>
  </si>
  <si>
    <t>Corrupted Domain text in the Security Monitoring row repaired.</t>
  </si>
  <si>
    <t>Treatment Action Timescale converted from text to true dates, enabling overdue and review logic.</t>
  </si>
  <si>
    <t>Composite owners ('HR Manager / Compliance Consultant') reduced to one accountable owner each - review and adjust if the accountability sits elsewhere.</t>
  </si>
  <si>
    <t>Nested IF score lookups replaced with MATCH against governed scales; risk thresholds and review intervals moved to parameter cells.</t>
  </si>
  <si>
    <t>Five columns added: Risk Reduction %, Priority, Delivery Status, Next Review Date, Review Status.  One hidden helper column, Dash Rank, drives the Top 5 chart.</t>
  </si>
  <si>
    <t>DOCUMENT CHANGE RECORD</t>
  </si>
  <si>
    <t>Version</t>
  </si>
  <si>
    <t>Date</t>
  </si>
  <si>
    <t>Updated By</t>
  </si>
  <si>
    <t>Approved By</t>
  </si>
  <si>
    <t>V 1.0</t>
  </si>
  <si>
    <t>Ali Afzal (Compliance Consultant)</t>
  </si>
  <si>
    <t>Waqar Ali (CEO)</t>
  </si>
  <si>
    <t>Compliance Consultant</t>
  </si>
  <si>
    <t>Pending</t>
  </si>
  <si>
    <t>RISK DESCRIPTION</t>
  </si>
  <si>
    <t>TREATMENT PLAN</t>
  </si>
  <si>
    <t>POST-TREATMENT ASSESSMENT</t>
  </si>
  <si>
    <t>DASHBOARD</t>
  </si>
  <si>
    <t>Ref</t>
  </si>
  <si>
    <t>Asset Category</t>
  </si>
  <si>
    <t>Domain</t>
  </si>
  <si>
    <t>Asset</t>
  </si>
  <si>
    <t>Asset Description</t>
  </si>
  <si>
    <t>Risk Description</t>
  </si>
  <si>
    <t>Risk Type</t>
  </si>
  <si>
    <t>Vulnerability</t>
  </si>
  <si>
    <t>C</t>
  </si>
  <si>
    <t>I</t>
  </si>
  <si>
    <t>A</t>
  </si>
  <si>
    <t>Asset Value</t>
  </si>
  <si>
    <t>Asset Criticality / Rating</t>
  </si>
  <si>
    <t>Asset Evaluation</t>
  </si>
  <si>
    <t>Risk Owner</t>
  </si>
  <si>
    <t>Likelihood</t>
  </si>
  <si>
    <t>Likelihood Score</t>
  </si>
  <si>
    <t>Likelihood Rationale</t>
  </si>
  <si>
    <t>Consequences</t>
  </si>
  <si>
    <t>Consequence Score</t>
  </si>
  <si>
    <t>Consequences Rationale</t>
  </si>
  <si>
    <t>Risk Score</t>
  </si>
  <si>
    <t>Risk Value</t>
  </si>
  <si>
    <t>Treatment Option Chosen</t>
  </si>
  <si>
    <t>Proposed Treatment Action</t>
  </si>
  <si>
    <t>Annex A/Control(ISO-27001 and ISO 9001 Standard)</t>
  </si>
  <si>
    <t>Treatment Action Owner</t>
  </si>
  <si>
    <t>Treatment Action Timescale</t>
  </si>
  <si>
    <t>Treatment Action Status</t>
  </si>
  <si>
    <t>Post Treatment Asset Value</t>
  </si>
  <si>
    <t>Post-Treatment Likelihood</t>
  </si>
  <si>
    <t>Post-Treatment Likelihood Score</t>
  </si>
  <si>
    <t>Post-Treatment Consequences</t>
  </si>
  <si>
    <t>Post-Treatment Consequences Score</t>
  </si>
  <si>
    <t>Post-Treatment Risk Score</t>
  </si>
  <si>
    <t>Post-Treatment Risk Level</t>
  </si>
  <si>
    <t>Comments</t>
  </si>
  <si>
    <t>Dash Rank</t>
  </si>
  <si>
    <t>HR</t>
  </si>
  <si>
    <t>Human Resources / People Security</t>
  </si>
  <si>
    <t>Human Resource (Employees)</t>
  </si>
  <si>
    <t>Company personnel who access and process organizational and client information.</t>
  </si>
  <si>
    <t>Employees are onboarded without background verification, creating exposure to insider threats, fraud, identity misrepresentation, and untrustworthy personnel handling sensitive data.</t>
  </si>
  <si>
    <t>People</t>
  </si>
  <si>
    <t>No background / pre-employment verification process performed during hiring.</t>
  </si>
  <si>
    <t>HR Manager</t>
  </si>
  <si>
    <t>Likely</t>
  </si>
  <si>
    <t>Without any screening control, the likelihood of onboarding an unverified or high-risk individual is high.</t>
  </si>
  <si>
    <t>High</t>
  </si>
  <si>
    <t>An unscreened insider with access to confidential information could cause serious harm to operations, reputation and clients.</t>
  </si>
  <si>
    <t>Modify</t>
  </si>
  <si>
    <t>Background Verification process introduced. A Background Verification Form is completed for each employee and verification is performed after collection of the required data.</t>
  </si>
  <si>
    <t>ISO 27001:2022 - A.6.1 Screening; A.6.2 Terms and conditions of employment. | ISO 9001:2015 - Cl. 7.1.2 People; Cl. 7.2 Competence.</t>
  </si>
  <si>
    <t>Close</t>
  </si>
  <si>
    <t>Rare</t>
  </si>
  <si>
    <t>Moderate</t>
  </si>
  <si>
    <t>Close. Background Verification Forms completed and verification records maintained by HR.</t>
  </si>
  <si>
    <t>People Security / Competence &amp; Awareness</t>
  </si>
  <si>
    <t>Workforce (All Employees)</t>
  </si>
  <si>
    <t>All staff required to understand their information security (ISMS) and quality (QMS) responsibilities.</t>
  </si>
  <si>
    <t>No ISMS and Quality Management awareness training conducted; staff unaware of security and quality obligations, increasing human error, policy violations and nonconformities.</t>
  </si>
  <si>
    <t>No information security and quality awareness / training program delivered to staff.</t>
  </si>
  <si>
    <t>Untrained staff are highly likely to make security and quality errors during day-to-day work.</t>
  </si>
  <si>
    <t>Lack of awareness can lead to widespread errors, security incidents and quality nonconformities across the organization.</t>
  </si>
  <si>
    <t>ISMS and QMS awareness training conducted for all employees by the HR Manager and Compliance Consultant. Attendance and training records maintained.</t>
  </si>
  <si>
    <t>ISO 27001:2022 - A.6.3 Information security awareness, education and training. | ISO 9001:2015 - Cl. 7.2 Competence; Cl. 7.3 Awareness.</t>
  </si>
  <si>
    <t>Close. Combined ISMS &amp; QMS awareness training session held on the 29th; attendance sheet retained as evidence.</t>
  </si>
  <si>
    <t>Software and Application</t>
  </si>
  <si>
    <t>Secure Software Development / Application</t>
  </si>
  <si>
    <t>DataNext Application Source Code</t>
  </si>
  <si>
    <t>Proprietary application source code developed and maintained by BETACODES.</t>
  </si>
  <si>
    <t>Source code of DataNext released without a security code review; insecure coding, undetected vulnerabilities and quality defects may reach production.</t>
  </si>
  <si>
    <t>Technology</t>
  </si>
  <si>
    <t>No secure source-code review process within the software development life cycle.</t>
  </si>
  <si>
    <t>Development Lead</t>
  </si>
  <si>
    <t>Without code review, vulnerabilities and defects are likely to remain undetected in delivered software.</t>
  </si>
  <si>
    <t>Exploitable code flaws could lead to data compromise, service failure and loss of client confidence.</t>
  </si>
  <si>
    <t>Secure source-code review performed on the DataNext application by Development Leads and a code review report generated and retained.</t>
  </si>
  <si>
    <t>ISO 27001:2022 - A.8.28 Secure coding; A.8.25 Secure development life cycle; A.8.29 Security testing in development and acceptance. | ISO 9001:2015 - Cl. 8.3 Design and development; Cl. 8.5 Production and service provision.</t>
  </si>
  <si>
    <t>Close. Code review completed; review report generated and findings remediated.</t>
  </si>
  <si>
    <t>Infrastructure</t>
  </si>
  <si>
    <t>IT Infrastructure / Network Security</t>
  </si>
  <si>
    <t>Network Servers</t>
  </si>
  <si>
    <t>Production network servers hosting business and client-facing services.</t>
  </si>
  <si>
    <t>No penetration testing performed on network servers; exploitable vulnerabilities and misconfigurations may remain undetected and be exploited by attackers.</t>
  </si>
  <si>
    <t>Absence of periodic vulnerability assessment and penetration testing of servers.</t>
  </si>
  <si>
    <t>IT Head</t>
  </si>
  <si>
    <t>Internet-facing/production servers without testing are likely to contain exploitable weaknesses.</t>
  </si>
  <si>
    <t>A successful exploit could result in data breach, service downtime and severe operational and reputational impact.</t>
  </si>
  <si>
    <t>Penetration testing performed on network servers; identified findings remediated and the PT report retained.</t>
  </si>
  <si>
    <t>ISO 27001:2022 - A.8.8 Management of technical vulnerabilities; A.8.29 Security testing; A.8.9 Configuration management. | ISO 9001:2015 - Cl. 7.1.3 Infrastructure.</t>
  </si>
  <si>
    <t>Close. Penetration test completed, findings remediated and verified.</t>
  </si>
  <si>
    <t>Endpoint Security / IT Assets</t>
  </si>
  <si>
    <t>Workstations / PCs (Endpoints)</t>
  </si>
  <si>
    <t>Employee workstations used to access and process company and client data.</t>
  </si>
  <si>
    <t>Anti-malware not uniformly installed across all endpoints (mix of open-source, Windows Defender, and unprotected devices); inconsistent protection leaves devices exposed to malware.</t>
  </si>
  <si>
    <t>Inconsistent / missing endpoint anti-malware protection across PCs.</t>
  </si>
  <si>
    <t>Unprotected or inconsistently protected endpoints are likely to be infected by malware.</t>
  </si>
  <si>
    <t>Malware infection could spread across the network, causing data loss, downtime and compromise of client data.</t>
  </si>
  <si>
    <t>Endpoint anti-malware standardized and installed on all PCs (managed Windows Defender / approved solution). Coverage verified across the fleet.</t>
  </si>
  <si>
    <t>ISO 27001:2022 - A.8.7 Protection against malware; A.8.1 User endpoint devices. | ISO 9001:2015 - Cl. 7.1.3 Infrastructure.</t>
  </si>
  <si>
    <t>Close. Anti-malware installed and confirmed active on all endpoints.</t>
  </si>
  <si>
    <t>Documentation (GRC)</t>
  </si>
  <si>
    <t>Access Control / Identity &amp; Access Management</t>
  </si>
  <si>
    <t>User Access Management Records</t>
  </si>
  <si>
    <t>Records that authorize, grant and track user access rights to systems and applications.</t>
  </si>
  <si>
    <t>User access granted without formal authorization forms; risk of unauthorized or excessive access rights with no audit trail of access provisioning.</t>
  </si>
  <si>
    <t>No formal user access request / authorization process and records.</t>
  </si>
  <si>
    <t>Without formal authorization, inappropriate or excessive access is likely to be granted and go unnoticed.</t>
  </si>
  <si>
    <t>Excessive or unauthorized access could lead to confidentiality breaches and inability to demonstrate accountability.</t>
  </si>
  <si>
    <t>User Access Request/Authorization Forms created and completed for all users; access formally authorized and recorded.</t>
  </si>
  <si>
    <t>ISO 27001:2022 - A.5.15 Access control; A.5.16 Identity management; A.5.18 Access rights; A.8.2 Privileged access rights. | ISO 9001:2015 - Cl. 7.5 Documented information.</t>
  </si>
  <si>
    <t>Close. User access forms created and completed for all users; access register maintained.</t>
  </si>
  <si>
    <t>Governance / Management System Documentation</t>
  </si>
  <si>
    <t>ISMS &amp; QMS Documentation</t>
  </si>
  <si>
    <t>Governance, policies, processes and procedures that direct the information security and quality management systems.</t>
  </si>
  <si>
    <t>Absence of documented ISMS and QMS framework (governance, policies, processes, procedures) leading to inconsistent operations, non-compliance with ISO 27001 / ISO 9001 and audit failure.</t>
  </si>
  <si>
    <t>Process</t>
  </si>
  <si>
    <t>No documented management system framework established.</t>
  </si>
  <si>
    <t>Without documented direction, inconsistent and non-conforming practices are highly likely.</t>
  </si>
  <si>
    <t>Lack of documentation results in compliance failure, certification non-conformities and uncontrolled operations.</t>
  </si>
  <si>
    <t>Complete ISMS and QMS documentation set (governance framework, policies, processes and procedures) developed, approved and published by the Compliance Consultant.</t>
  </si>
  <si>
    <t>ISO 27001:2022 - A.5.1 Policies for information security; Cl. 7.5 Documented information. | ISO 9001:2015 - Cl. 4.4 QMS and its processes; Cl. 5.2 Policy; Cl. 7.5 Documented information.</t>
  </si>
  <si>
    <t>Close. Full ISMS &amp; QMS document set developed, approved and published.</t>
  </si>
  <si>
    <t>Miscellaneous</t>
  </si>
  <si>
    <t>Asset Management</t>
  </si>
  <si>
    <t>Asset Issuance Records / Inventory</t>
  </si>
  <si>
    <t>Records of company assets issued to and returned by employees.</t>
  </si>
  <si>
    <t>No records maintained for assets issued to employees; loss of accountability, untracked assets and potential loss or theft of equipment and the data they hold.</t>
  </si>
  <si>
    <t>No asset issuance form or inventory record-keeping in place.</t>
  </si>
  <si>
    <t>Operations Team</t>
  </si>
  <si>
    <t>Without issuance records, untracked and unaccounted-for assets are likely.</t>
  </si>
  <si>
    <t>Lost accountability can lead to asset loss and exposure of data stored on the assets.</t>
  </si>
  <si>
    <t>Asset Issuance Forms created; issuance and return of assets recorded and maintained by the Operations team.</t>
  </si>
  <si>
    <t>ISO 27001:2022 - A.5.9 Inventory of information and other associated assets; A.5.10 Acceptable use of assets; A.5.11 Return of assets. | ISO 9001:2015 - Cl. 7.1.3 Infrastructure; Cl. 7.5 Documented information; Cl. 8.5.3 Property belonging to customers/external providers.</t>
  </si>
  <si>
    <t>Slight</t>
  </si>
  <si>
    <t>Close. Asset Issuance Forms created and issuance/return records maintained.</t>
  </si>
  <si>
    <t>Backup / Business Continuity</t>
  </si>
  <si>
    <t>Data Backups</t>
  </si>
  <si>
    <t>Backup copies of critical business and client data.</t>
  </si>
  <si>
    <t>No offsite backup location; a site-level incident (fire, theft, disaster) could destroy primary and backup data simultaneously, causing permanent data loss.</t>
  </si>
  <si>
    <t>Backups stored only on-site with no geographic redundancy.</t>
  </si>
  <si>
    <t>A single on-site copy is vulnerable to any localized incident affecting the primary site.</t>
  </si>
  <si>
    <t>Simultaneous loss of primary and backup data would be catastrophic and likely unrecoverable.</t>
  </si>
  <si>
    <t>E11 office identified and established as the offsite backup location; backups replicated offsite and restoration successfully tested.</t>
  </si>
  <si>
    <t>ISO 27001:2022 - A.8.13 Information backup; A.5.29 Information security during disruption; A.5.30 ICT readiness for business continuity; A.7.5 Protecting against physical and environmental threats. | ISO 9001:2015 - Cl. 7.1.3 Infrastructure; Cl. 7.5.3 Control of documented information.</t>
  </si>
  <si>
    <t>Close. Offsite backup at E11 established; backup replication and restoration test completed.</t>
  </si>
  <si>
    <t>Security Monitoring / Logging</t>
  </si>
  <si>
    <t>Endpoint Devices &amp; Logs</t>
  </si>
  <si>
    <t>Endpoints and servers requiring security event logging and monitoring.</t>
  </si>
  <si>
    <t>No tool for endpoint logging and monitoring; security events and incidents on devices go undetected, delaying detection and response to threats.</t>
  </si>
  <si>
    <t>Absence of centralized logging and monitoring on endpoints/devices.</t>
  </si>
  <si>
    <t>Without monitoring, malicious or anomalous activity is likely to go undetected.</t>
  </si>
  <si>
    <t>Undetected incidents can escalate, increasing breach impact and response time.</t>
  </si>
  <si>
    <t>Wazuh deployed for centralized logging and monitoring of endpoints/devices; alerting and log review operational.</t>
  </si>
  <si>
    <t>ISO 27001:2022 - A.8.16 Monitoring activities; A.8.15 Logging; A.5.7 Threat intelligence. | ISO 9001:2015 - Cl. 9.1 Monitoring, measurement, analysis and evaluation.</t>
  </si>
  <si>
    <t>Close. Wazuh implemented; devices onboarded for logging and monitoring.</t>
  </si>
  <si>
    <t>DASHBOARD DATA ENGINE</t>
  </si>
  <si>
    <t>Every block below is live: it reads tblRiskRegister directly with SUMIFS / COUNTIFS and recalculates the instant a risk is added or edited. No refresh step exists.</t>
  </si>
  <si>
    <t>Rows inside each block are listed in REVERSE display order - Excel plots the first category at the bottom of a horizontal bar chart.</t>
  </si>
  <si>
    <t>FILTER CRITERIA   ("&lt;&gt;" means "any non-blank value", i.e. no filter)</t>
  </si>
  <si>
    <t>Asset Category criterion</t>
  </si>
  <si>
    <t>Treatment Status criterion</t>
  </si>
  <si>
    <t>BLOCK 1  -  Risk exposure by asset category   &gt;  Chart 1</t>
  </si>
  <si>
    <t>BLOCK 3  -  Top 5 residual risks   &gt;  Chart 2</t>
  </si>
  <si>
    <t>Inherent Exposure</t>
  </si>
  <si>
    <t>Residual Exposure</t>
  </si>
  <si>
    <t>Risk (Asset)</t>
  </si>
  <si>
    <t>Residual Score</t>
  </si>
  <si>
    <t>Ranking is driven by the hidden 'Dash Rank' column in the register, which respects both dashboard filters.</t>
  </si>
  <si>
    <t>BLOCK 2  -  Treatment delivery by accountable owner   &gt;  Chart 3</t>
  </si>
  <si>
    <t>Accountable Owner</t>
  </si>
  <si>
    <t>Open</t>
  </si>
  <si>
    <t>Enterprise Risk Management Dashboard</t>
  </si>
  <si>
    <t>Live view - recalculates automatically. No refresh required.</t>
  </si>
  <si>
    <t>ISO 27001:2022 | ISO 9001:2015 | Executive Risk Overview</t>
  </si>
  <si>
    <t xml:space="preserve"> ASSET CATEGORY</t>
  </si>
  <si>
    <t xml:space="preserve"> TREATMENT ACTION STATUS</t>
  </si>
  <si>
    <t>All</t>
  </si>
  <si>
    <t>Both filters drive every KPI and every chart on this page.</t>
  </si>
  <si>
    <t>TOTAL RISKS IDENTIFIED</t>
  </si>
  <si>
    <t>HIGH RESIDUAL RISKS</t>
  </si>
  <si>
    <t>RISK REDUCTION</t>
  </si>
  <si>
    <t>OPEN TREATMENT ACTIONS</t>
  </si>
  <si>
    <t>OVERDUE ACTIONS</t>
  </si>
  <si>
    <t>CLOSED TREATMENT ACTIONS</t>
  </si>
  <si>
    <t>MEDIUM RESIDUAL RISKS</t>
  </si>
  <si>
    <t>LOW RESIDUAL RISKS</t>
  </si>
  <si>
    <t>Consequence</t>
  </si>
  <si>
    <t>Treatment Option</t>
  </si>
  <si>
    <t>Owner / Accountable Role</t>
  </si>
  <si>
    <t>Risk Criteria Parameter</t>
  </si>
  <si>
    <t>Value</t>
  </si>
  <si>
    <t>Category Filter</t>
  </si>
  <si>
    <t>Status Filter</t>
  </si>
  <si>
    <t>Avoid</t>
  </si>
  <si>
    <t>High risk threshold (score &gt;=)</t>
  </si>
  <si>
    <t>Accept</t>
  </si>
  <si>
    <t>Medium risk threshold (score &gt;=)</t>
  </si>
  <si>
    <t>Almost Certain</t>
  </si>
  <si>
    <t>Review interval - HIGH (months)</t>
  </si>
  <si>
    <t>Share</t>
  </si>
  <si>
    <t>Review interval - MEDIUM (months)</t>
  </si>
  <si>
    <t>Peripherals (Devices)</t>
  </si>
  <si>
    <t>Review interval - LOW (months)</t>
  </si>
  <si>
    <t>'Due soon' window (days)</t>
  </si>
  <si>
    <t>Yellow cells are policy parameters.</t>
  </si>
  <si>
    <t>Changing one re-bands the whole register instantly.</t>
  </si>
  <si>
    <t>No formula anywhere hard-codes these numbers.</t>
  </si>
  <si>
    <t>HOW TO EXTEND THESE LISTS</t>
  </si>
  <si>
    <t>1.  To add a value, right-click a row INSIDE the list (not the row below it) and Insert.</t>
  </si>
  <si>
    <t xml:space="preserve">    Inserting inside the range makes every defined name, dropdown and formula follow automatically.</t>
  </si>
  <si>
    <t>2.  Likelihood and Consequence are ORDERED lists - position in the list IS the score (row 1 = score 1).</t>
  </si>
  <si>
    <t xml:space="preserve">    Never reorder them without re-baselining the register.</t>
  </si>
  <si>
    <t>3.  Adding an Asset Category also needs one row inserted inside the Category Filter list (column P)</t>
  </si>
  <si>
    <t xml:space="preserve">    and inside the 'Exposure by Asset Category' block on the Dashboard Data sheet.</t>
  </si>
  <si>
    <t>4.  Adding an Owner also needs one row inserted inside the 'Delivery by Owner' block on Dashboard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</si>
</sst>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6" x14ac:knownFonts="1">
    <font>
      <sz val="11"/>
      <color theme="1"/>
      <name val="Calibri"/>
      <family val="2"/>
      <charset val="1"/>
    </font>
    <font>
      <sz val="18"/>
      <color rgb="FF1F3864"/>
      <name val="Calibri Light"/>
      <charset val="1"/>
    </font>
    <font>
      <sz val="11"/>
      <color rgb="FF7F7F7F"/>
      <name val="Calibri"/>
      <charset val="1"/>
    </font>
    <font>
      <b/>
      <sz val="11"/>
      <color rgb="FFFFFFFF"/>
      <name val="Calibri"/>
      <charset val="1"/>
    </font>
    <font>
      <b/>
      <sz val="10"/>
      <color rgb="FF333333"/>
      <name val="Calibri"/>
      <charset val="1"/>
    </font>
    <font>
      <sz val="10"/>
      <color rgb="FF333333"/>
      <name val="Calibri"/>
      <charset val="1"/>
    </font>
    <font>
      <b/>
      <sz val="10"/>
      <color rgb="FF1F3864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family val="2"/>
      <charset val="1"/>
    </font>
    <font>
      <i/>
      <sz val="10"/>
      <color rgb="FF595959"/>
      <name val="Calibri"/>
      <charset val="1"/>
    </font>
    <font>
      <sz val="10"/>
      <color rgb="FF333333"/>
      <name val="Calibri"/>
      <family val="2"/>
      <charset val="1"/>
    </font>
    <font>
      <sz val="16"/>
      <color rgb="FF1F3864"/>
      <name val="Calibri Light"/>
      <charset val="1"/>
    </font>
    <font>
      <i/>
      <sz val="9"/>
      <color rgb="FF7F7F7F"/>
      <name val="Calibri"/>
      <charset val="1"/>
    </font>
    <font>
      <sz val="20"/>
      <color rgb="FFFFFFFF"/>
      <name val="Calibri Light"/>
      <charset val="1"/>
    </font>
    <font>
      <sz val="9"/>
      <color rgb="FFAAB6CC"/>
      <name val="Calibri"/>
      <charset val="1"/>
    </font>
    <font>
      <i/>
      <sz val="9"/>
      <color rgb="FF8C9BB8"/>
      <name val="Calibri"/>
      <charset val="1"/>
    </font>
    <font>
      <sz val="11"/>
      <color rgb="FFAAB6CC"/>
      <name val="Calibri"/>
      <charset val="1"/>
    </font>
    <font>
      <sz val="20"/>
      <color rgb="FFFFFFFF"/>
      <name val="Calibri Light"/>
      <family val="2"/>
      <charset val="1"/>
    </font>
    <font>
      <b/>
      <sz val="12"/>
      <color rgb="FFAAB6CC"/>
      <name val="Times New Roman"/>
      <family val="1"/>
      <charset val="1"/>
    </font>
    <font>
      <b/>
      <sz val="9"/>
      <color rgb="FFAAB6CC"/>
      <name val="Calibri"/>
      <charset val="1"/>
    </font>
    <font>
      <sz val="11"/>
      <color rgb="FFAAB6CC"/>
      <name val="Calibri"/>
      <family val="2"/>
      <charset val="1"/>
    </font>
    <font>
      <sz val="28"/>
      <color rgb="FFFFFFFF"/>
      <name val="Calibri Light"/>
      <charset val="1"/>
    </font>
    <font>
      <b/>
      <sz val="9"/>
      <color rgb="FFAAB6CC"/>
      <name val="Calibri"/>
      <family val="2"/>
      <charset val="1"/>
    </font>
    <font>
      <sz val="8"/>
      <color rgb="FF8C9BB8"/>
      <name val="Calibri"/>
      <charset val="1"/>
    </font>
    <font>
      <b/>
      <sz val="10"/>
      <color rgb="FF0000FF"/>
      <name val="Calibri"/>
      <charset val="1"/>
    </font>
    <font>
      <sz val="9"/>
      <color rgb="FF7F7F7F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870"/>
      </patternFill>
    </fill>
    <fill>
      <patternFill patternType="solid">
        <fgColor rgb="FF2E75B6"/>
        <bgColor rgb="FF0066CC"/>
      </patternFill>
    </fill>
    <fill>
      <patternFill patternType="solid">
        <fgColor rgb="FF92D050"/>
        <bgColor rgb="FF70AD47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F7F8F9"/>
        <bgColor rgb="FFFFFFFF"/>
      </patternFill>
    </fill>
    <fill>
      <patternFill patternType="solid">
        <fgColor theme="0" tint="-0.14999847407452621"/>
        <bgColor rgb="FFE7E9EB"/>
      </patternFill>
    </fill>
    <fill>
      <patternFill patternType="solid">
        <fgColor rgb="FF0E1B2E"/>
        <bgColor rgb="FF17283F"/>
      </patternFill>
    </fill>
    <fill>
      <patternFill patternType="solid">
        <fgColor rgb="FF17283F"/>
        <bgColor rgb="FF0E1B2E"/>
      </patternFill>
    </fill>
    <fill>
      <patternFill patternType="solid">
        <fgColor rgb="FF70AD47"/>
        <bgColor rgb="FF92D050"/>
      </patternFill>
    </fill>
    <fill>
      <patternFill patternType="solid">
        <fgColor rgb="FFFFF2CC"/>
        <bgColor rgb="FFFCE4E4"/>
      </patternFill>
    </fill>
  </fills>
  <borders count="3">
    <border>
      <left/>
      <right/>
      <top/>
      <bottom/>
      <diagonal/>
    </border>
    <border>
      <left style="thin">
        <color rgb="FFE7E9EB"/>
      </left>
      <right style="thin">
        <color rgb="FFE7E9EB"/>
      </right>
      <top style="thin">
        <color rgb="FFE7E9EB"/>
      </top>
      <bottom style="thin">
        <color rgb="FFE7E9EB"/>
      </bottom>
      <diagonal/>
    </border>
    <border>
      <left/>
      <right/>
      <top/>
      <bottom style="thin">
        <color rgb="FF2E487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8" fillId="8" borderId="0" xfId="0" applyFont="1" applyFill="1" applyAlignment="1">
      <alignment horizontal="right" vertical="center"/>
    </xf>
    <xf numFmtId="0" fontId="17" fillId="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5" fillId="0" borderId="1" xfId="0" applyNumberFormat="1" applyFont="1" applyBorder="1"/>
    <xf numFmtId="0" fontId="7" fillId="3" borderId="1" xfId="0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3" fillId="2" borderId="0" xfId="0" applyFont="1" applyFill="1" applyAlignment="1">
      <alignment horizontal="left" vertical="center" inden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vertical="top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6" fillId="0" borderId="0" xfId="0" applyFont="1"/>
    <xf numFmtId="0" fontId="5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0" fontId="0" fillId="8" borderId="0" xfId="0" applyFill="1"/>
    <xf numFmtId="0" fontId="13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right" vertical="center"/>
    </xf>
    <xf numFmtId="0" fontId="15" fillId="8" borderId="0" xfId="0" applyFont="1" applyFill="1" applyAlignment="1">
      <alignment horizontal="right" vertical="center"/>
    </xf>
    <xf numFmtId="0" fontId="16" fillId="8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0" fillId="2" borderId="0" xfId="0" applyFill="1"/>
    <xf numFmtId="3" fontId="21" fillId="8" borderId="0" xfId="0" applyNumberFormat="1" applyFont="1" applyFill="1" applyAlignment="1">
      <alignment horizontal="center" vertical="center"/>
    </xf>
    <xf numFmtId="0" fontId="0" fillId="10" borderId="0" xfId="0" applyFill="1"/>
    <xf numFmtId="0" fontId="0" fillId="3" borderId="0" xfId="0" applyFill="1"/>
    <xf numFmtId="0" fontId="0" fillId="4" borderId="0" xfId="0" applyFill="1"/>
    <xf numFmtId="0" fontId="23" fillId="8" borderId="0" xfId="0" applyFont="1" applyFill="1" applyAlignment="1">
      <alignment horizontal="left" vertical="center"/>
    </xf>
    <xf numFmtId="0" fontId="0" fillId="8" borderId="2" xfId="0" applyFill="1" applyBorder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25" fillId="0" borderId="0" xfId="0" applyFont="1"/>
    <xf numFmtId="0" fontId="15" fillId="8" borderId="0" xfId="0" applyFont="1" applyFill="1" applyAlignment="1">
      <alignment horizontal="right" vertical="center"/>
    </xf>
    <xf numFmtId="0" fontId="20" fillId="8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3" fontId="21" fillId="9" borderId="0" xfId="0" applyNumberFormat="1" applyFont="1" applyFill="1" applyAlignment="1">
      <alignment horizontal="center" vertical="center"/>
    </xf>
    <xf numFmtId="165" fontId="21" fillId="9" borderId="0" xfId="0" applyNumberFormat="1" applyFont="1" applyFill="1" applyAlignment="1">
      <alignment horizontal="center" vertical="center"/>
    </xf>
    <xf numFmtId="3" fontId="21" fillId="9" borderId="0" xfId="0" applyNumberFormat="1" applyFont="1" applyFill="1" applyAlignment="1">
      <alignment horizontal="center" vertical="center" shrinkToFit="1"/>
    </xf>
    <xf numFmtId="0" fontId="23" fillId="8" borderId="0" xfId="0" applyFont="1" applyFill="1" applyAlignment="1">
      <alignment horizontal="left" vertical="center"/>
    </xf>
  </cellXfs>
  <cellStyles count="1">
    <cellStyle name="Normal" xfId="0" builtinId="0"/>
  </cellStyles>
  <dxfs count="35">
    <dxf>
      <font>
        <sz val="28"/>
        <color rgb="FFC00000"/>
        <name val="Calibri Light"/>
        <charset val="1"/>
      </font>
    </dxf>
    <dxf>
      <font>
        <sz val="28"/>
        <color rgb="FFC00000"/>
        <name val="Calibri Light"/>
        <charset val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sz val="28"/>
        <color rgb="FFC00000"/>
        <name val="Calibri Light"/>
        <charset val="1"/>
      </font>
    </dxf>
    <dxf>
      <fill>
        <patternFill>
          <bgColor rgb="FFC00000"/>
        </patternFill>
      </fill>
    </dxf>
    <dxf>
      <font>
        <sz val="28"/>
        <color rgb="FFC00000"/>
        <name val="Calibri Light"/>
        <charset val="1"/>
      </font>
    </dxf>
    <dxf>
      <fill>
        <patternFill>
          <bgColor rgb="FFC00000"/>
        </patternFill>
      </fill>
    </dxf>
    <dxf>
      <font>
        <sz val="28"/>
        <color rgb="FFC00000"/>
        <name val="Calibri Light"/>
        <charset val="1"/>
      </font>
    </dxf>
    <dxf>
      <fill>
        <patternFill>
          <bgColor rgb="FFC00000"/>
        </patternFill>
      </fill>
    </dxf>
    <dxf>
      <font>
        <sz val="28"/>
        <color rgb="FFC00000"/>
        <name val="Calibri Light"/>
        <charset val="1"/>
      </font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A6A6A6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C00000"/>
        <name val="Calibri"/>
        <charset val="1"/>
      </font>
      <fill>
        <patternFill>
          <bgColor rgb="FFFCE4E4"/>
        </patternFill>
      </fill>
    </dxf>
    <dxf>
      <font>
        <b/>
        <sz val="10"/>
        <color rgb="FFFFFFFF"/>
        <name val="Calibri"/>
        <charset val="1"/>
      </font>
      <fill>
        <patternFill>
          <bgColor rgb="FFA6A6A6"/>
        </patternFill>
      </fill>
    </dxf>
    <dxf>
      <font>
        <b/>
        <sz val="10"/>
        <color rgb="FFFFFFFF"/>
        <name val="Calibri"/>
        <charset val="1"/>
      </font>
      <fill>
        <patternFill>
          <bgColor rgb="FF2E75B6"/>
        </patternFill>
      </fill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ED7D31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33333"/>
        <name val="Calibri"/>
        <charset val="1"/>
      </font>
      <fill>
        <patternFill>
          <bgColor rgb="FFFFC000"/>
        </patternFill>
      </fill>
    </dxf>
    <dxf>
      <font>
        <b/>
        <sz val="10"/>
        <color rgb="FFFFFFFF"/>
        <name val="Calibri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A6A6A6"/>
      <rgbColor rgb="FF993366"/>
      <rgbColor rgb="FFFFF2CC"/>
      <rgbColor rgb="FFE7E9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9"/>
      <rgbColor rgb="FFCCFFCC"/>
      <rgbColor rgb="FFFFFF99"/>
      <rgbColor rgb="FFAAB6CC"/>
      <rgbColor rgb="FFFF99CC"/>
      <rgbColor rgb="FFB3B3B3"/>
      <rgbColor rgb="FFFCE4E4"/>
      <rgbColor rgb="FF2E75B6"/>
      <rgbColor rgb="FF33CCCC"/>
      <rgbColor rgb="FF92D050"/>
      <rgbColor rgb="FFFFC000"/>
      <rgbColor rgb="FFFF9900"/>
      <rgbColor rgb="FFED7D31"/>
      <rgbColor rgb="FF595959"/>
      <rgbColor rgb="FF8C9BB8"/>
      <rgbColor rgb="FF1F3864"/>
      <rgbColor rgb="FF70AD47"/>
      <rgbColor rgb="FF0E1B2E"/>
      <rgbColor rgb="FF17283F"/>
      <rgbColor rgb="FF993300"/>
      <rgbColor rgb="FF993366"/>
      <rgbColor rgb="FF2E487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FFFFF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Calibri"/>
              </a:rPr>
              <a:t>Risk Exposure by Asset Category  -  Inherent vs Residual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Data'!$B$10</c:f>
              <c:strCache>
                <c:ptCount val="1"/>
                <c:pt idx="0">
                  <c:v>Inherent Exposure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latin typeface="Calibri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Data'!$A$11:$A$16</c:f>
              <c:strCache>
                <c:ptCount val="6"/>
                <c:pt idx="0">
                  <c:v>Miscellaneous</c:v>
                </c:pt>
                <c:pt idx="1">
                  <c:v>Peripherals (Devices)</c:v>
                </c:pt>
                <c:pt idx="2">
                  <c:v>Software and Application</c:v>
                </c:pt>
                <c:pt idx="3">
                  <c:v>HR</c:v>
                </c:pt>
                <c:pt idx="4">
                  <c:v>Infrastructure</c:v>
                </c:pt>
                <c:pt idx="5">
                  <c:v>Documentation (GRC)</c:v>
                </c:pt>
              </c:strCache>
            </c:strRef>
          </c:cat>
          <c:val>
            <c:numRef>
              <c:f>'Dashboard Data'!$B$11:$B$16</c:f>
              <c:numCache>
                <c:formatCode>#,##0</c:formatCode>
                <c:ptCount val="6"/>
                <c:pt idx="0">
                  <c:v>8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48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06D-9E9D-3ECA8B57B461}"/>
            </c:ext>
          </c:extLst>
        </c:ser>
        <c:ser>
          <c:idx val="1"/>
          <c:order val="1"/>
          <c:tx>
            <c:strRef>
              <c:f>'Dashboard Data'!$C$10</c:f>
              <c:strCache>
                <c:ptCount val="1"/>
                <c:pt idx="0">
                  <c:v>Residual Exposure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latin typeface="Calibri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Data'!$A$11:$A$16</c:f>
              <c:strCache>
                <c:ptCount val="6"/>
                <c:pt idx="0">
                  <c:v>Miscellaneous</c:v>
                </c:pt>
                <c:pt idx="1">
                  <c:v>Peripherals (Devices)</c:v>
                </c:pt>
                <c:pt idx="2">
                  <c:v>Software and Application</c:v>
                </c:pt>
                <c:pt idx="3">
                  <c:v>HR</c:v>
                </c:pt>
                <c:pt idx="4">
                  <c:v>Infrastructure</c:v>
                </c:pt>
                <c:pt idx="5">
                  <c:v>Documentation (GRC)</c:v>
                </c:pt>
              </c:strCache>
            </c:strRef>
          </c:cat>
          <c:val>
            <c:numRef>
              <c:f>'Dashboard Data'!$C$11:$C$16</c:f>
              <c:numCache>
                <c:formatCode>#,##0</c:formatCode>
                <c:ptCount val="6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8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0-406D-9E9D-3ECA8B57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31999591"/>
        <c:axId val="98441897"/>
      </c:barChart>
      <c:catAx>
        <c:axId val="319995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A6A6A6"/>
                </a:solidFill>
                <a:latin typeface="Times New Roman"/>
              </a:defRPr>
            </a:pPr>
            <a:endParaRPr lang="en-PK"/>
          </a:p>
        </c:txPr>
        <c:crossAx val="98441897"/>
        <c:crosses val="autoZero"/>
        <c:auto val="1"/>
        <c:lblAlgn val="ctr"/>
        <c:lblOffset val="100"/>
        <c:noMultiLvlLbl val="0"/>
      </c:catAx>
      <c:valAx>
        <c:axId val="9844189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3199959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200" b="1" strike="noStrike" spc="-1">
              <a:solidFill>
                <a:srgbClr val="A6A6A6"/>
              </a:solidFill>
              <a:latin typeface="Times New Roman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17283F"/>
    </a:solidFill>
    <a:ln w="9360">
      <a:solidFill>
        <a:srgbClr val="2E487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FFFFF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Calibri"/>
              </a:rPr>
              <a:t>Top 5 Residual Risks  -  Highest Remaining Exposure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Data'!$H$10</c:f>
              <c:strCache>
                <c:ptCount val="1"/>
                <c:pt idx="0">
                  <c:v>Residual Score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latin typeface="Calibri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Data'!$G$11:$G$15</c:f>
              <c:strCache>
                <c:ptCount val="5"/>
                <c:pt idx="0">
                  <c:v>ISMS &amp; QMS Documentation</c:v>
                </c:pt>
                <c:pt idx="1">
                  <c:v>Endpoint Devices &amp; Logs</c:v>
                </c:pt>
                <c:pt idx="2">
                  <c:v>DataNext Application Source Code</c:v>
                </c:pt>
                <c:pt idx="3">
                  <c:v>Network Servers</c:v>
                </c:pt>
                <c:pt idx="4">
                  <c:v>Data Backups</c:v>
                </c:pt>
              </c:strCache>
            </c:strRef>
          </c:cat>
          <c:val>
            <c:numRef>
              <c:f>'Dashboard Data'!$H$11:$H$15</c:f>
              <c:numCache>
                <c:formatCode>#,##0</c:formatCode>
                <c:ptCount val="5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4-4429-BF6C-FE0FCCD65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1479857"/>
        <c:axId val="85339194"/>
      </c:barChart>
      <c:catAx>
        <c:axId val="4147985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50" b="1" strike="noStrike" spc="-1">
                <a:solidFill>
                  <a:srgbClr val="A6A6A6"/>
                </a:solidFill>
                <a:latin typeface="Times New Roman"/>
              </a:defRPr>
            </a:pPr>
            <a:endParaRPr lang="en-PK"/>
          </a:p>
        </c:txPr>
        <c:crossAx val="85339194"/>
        <c:crosses val="autoZero"/>
        <c:auto val="1"/>
        <c:lblAlgn val="ctr"/>
        <c:lblOffset val="100"/>
        <c:noMultiLvlLbl val="0"/>
      </c:catAx>
      <c:valAx>
        <c:axId val="85339194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41479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7283F"/>
    </a:solidFill>
    <a:ln w="9360">
      <a:solidFill>
        <a:srgbClr val="2E487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FFFFFF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Calibri"/>
              </a:rPr>
              <a:t>Treatment Delivery by Accountable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'Dashboard Data'!$B$19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Data'!$A$20:$A$24</c:f>
              <c:strCache>
                <c:ptCount val="5"/>
                <c:pt idx="0">
                  <c:v>Operations Team</c:v>
                </c:pt>
                <c:pt idx="1">
                  <c:v>IT Head</c:v>
                </c:pt>
                <c:pt idx="2">
                  <c:v>HR Manager</c:v>
                </c:pt>
                <c:pt idx="3">
                  <c:v>Development Lead</c:v>
                </c:pt>
                <c:pt idx="4">
                  <c:v>Compliance Consultant</c:v>
                </c:pt>
              </c:strCache>
            </c:strRef>
          </c:cat>
          <c:val>
            <c:numRef>
              <c:f>'Dashboard Data'!$B$20:$B$24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3-4685-BA30-9B060FA42595}"/>
            </c:ext>
          </c:extLst>
        </c:ser>
        <c:ser>
          <c:idx val="1"/>
          <c:order val="1"/>
          <c:tx>
            <c:strRef>
              <c:f>'Dashboard Data'!$C$19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Data'!$A$20:$A$24</c:f>
              <c:strCache>
                <c:ptCount val="5"/>
                <c:pt idx="0">
                  <c:v>Operations Team</c:v>
                </c:pt>
                <c:pt idx="1">
                  <c:v>IT Head</c:v>
                </c:pt>
                <c:pt idx="2">
                  <c:v>HR Manager</c:v>
                </c:pt>
                <c:pt idx="3">
                  <c:v>Development Lead</c:v>
                </c:pt>
                <c:pt idx="4">
                  <c:v>Compliance Consultant</c:v>
                </c:pt>
              </c:strCache>
            </c:strRef>
          </c:cat>
          <c:val>
            <c:numRef>
              <c:f>'Dashboard Data'!$C$20:$C$24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3-4685-BA30-9B060FA42595}"/>
            </c:ext>
          </c:extLst>
        </c:ser>
        <c:ser>
          <c:idx val="2"/>
          <c:order val="2"/>
          <c:tx>
            <c:strRef>
              <c:f>'Dashboard Data'!$D$19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Data'!$A$20:$A$24</c:f>
              <c:strCache>
                <c:ptCount val="5"/>
                <c:pt idx="0">
                  <c:v>Operations Team</c:v>
                </c:pt>
                <c:pt idx="1">
                  <c:v>IT Head</c:v>
                </c:pt>
                <c:pt idx="2">
                  <c:v>HR Manager</c:v>
                </c:pt>
                <c:pt idx="3">
                  <c:v>Development Lead</c:v>
                </c:pt>
                <c:pt idx="4">
                  <c:v>Compliance Consultant</c:v>
                </c:pt>
              </c:strCache>
            </c:strRef>
          </c:cat>
          <c:val>
            <c:numRef>
              <c:f>'Dashboard Data'!$D$20:$D$24</c:f>
              <c:numCache>
                <c:formatCode>#,##0</c:formatCode>
                <c:ptCount val="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B3-4685-BA30-9B060FA42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37188018"/>
        <c:axId val="34036896"/>
      </c:barChart>
      <c:catAx>
        <c:axId val="3718801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50" b="0" strike="noStrike" spc="-1">
                <a:solidFill>
                  <a:srgbClr val="A6A6A6"/>
                </a:solidFill>
                <a:latin typeface="Times New Roman"/>
              </a:defRPr>
            </a:pPr>
            <a:endParaRPr lang="en-PK"/>
          </a:p>
        </c:txPr>
        <c:crossAx val="34036896"/>
        <c:crosses val="autoZero"/>
        <c:auto val="1"/>
        <c:lblAlgn val="ctr"/>
        <c:lblOffset val="100"/>
        <c:noMultiLvlLbl val="0"/>
      </c:catAx>
      <c:valAx>
        <c:axId val="34036896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371880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17283F"/>
    </a:solidFill>
    <a:ln w="9360">
      <a:solidFill>
        <a:srgbClr val="2E487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</xdr:row>
      <xdr:rowOff>0</xdr:rowOff>
    </xdr:from>
    <xdr:to>
      <xdr:col>27</xdr:col>
      <xdr:colOff>45000</xdr:colOff>
      <xdr:row>38</xdr:row>
      <xdr:rowOff>9360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254160</xdr:colOff>
      <xdr:row>22</xdr:row>
      <xdr:rowOff>0</xdr:rowOff>
    </xdr:from>
    <xdr:to>
      <xdr:col>47</xdr:col>
      <xdr:colOff>282960</xdr:colOff>
      <xdr:row>38</xdr:row>
      <xdr:rowOff>9360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95400</xdr:colOff>
      <xdr:row>38</xdr:row>
      <xdr:rowOff>31680</xdr:rowOff>
    </xdr:from>
    <xdr:to>
      <xdr:col>47</xdr:col>
      <xdr:colOff>275400</xdr:colOff>
      <xdr:row>53</xdr:row>
      <xdr:rowOff>96480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iskRegister" displayName="tblRiskRegister" ref="A2:AL12" totalsRowShown="0">
  <autoFilter ref="A2:AL12" xr:uid="{00000000-0009-0000-0100-000001000000}"/>
  <tableColumns count="38">
    <tableColumn id="1" xr3:uid="{00000000-0010-0000-0000-000001000000}" name="Ref"/>
    <tableColumn id="2" xr3:uid="{00000000-0010-0000-0000-000002000000}" name="Asset Category"/>
    <tableColumn id="3" xr3:uid="{00000000-0010-0000-0000-000003000000}" name="Domain"/>
    <tableColumn id="4" xr3:uid="{00000000-0010-0000-0000-000004000000}" name="Asset"/>
    <tableColumn id="5" xr3:uid="{00000000-0010-0000-0000-000005000000}" name="Asset Description"/>
    <tableColumn id="6" xr3:uid="{00000000-0010-0000-0000-000006000000}" name="Risk Description"/>
    <tableColumn id="7" xr3:uid="{00000000-0010-0000-0000-000007000000}" name="Risk Type"/>
    <tableColumn id="8" xr3:uid="{00000000-0010-0000-0000-000008000000}" name="Vulnerability"/>
    <tableColumn id="9" xr3:uid="{00000000-0010-0000-0000-000009000000}" name="C"/>
    <tableColumn id="10" xr3:uid="{00000000-0010-0000-0000-00000A000000}" name="I"/>
    <tableColumn id="11" xr3:uid="{00000000-0010-0000-0000-00000B000000}" name="A"/>
    <tableColumn id="12" xr3:uid="{00000000-0010-0000-0000-00000C000000}" name="Asset Value"/>
    <tableColumn id="13" xr3:uid="{00000000-0010-0000-0000-00000D000000}" name="Asset Criticality / Rating"/>
    <tableColumn id="14" xr3:uid="{00000000-0010-0000-0000-00000E000000}" name="Asset Evaluation"/>
    <tableColumn id="15" xr3:uid="{00000000-0010-0000-0000-00000F000000}" name="Risk Owner"/>
    <tableColumn id="16" xr3:uid="{00000000-0010-0000-0000-000010000000}" name="Likelihood"/>
    <tableColumn id="17" xr3:uid="{00000000-0010-0000-0000-000011000000}" name="Likelihood Score"/>
    <tableColumn id="18" xr3:uid="{00000000-0010-0000-0000-000012000000}" name="Likelihood Rationale"/>
    <tableColumn id="19" xr3:uid="{00000000-0010-0000-0000-000013000000}" name="Consequences"/>
    <tableColumn id="20" xr3:uid="{00000000-0010-0000-0000-000014000000}" name="Consequence Score"/>
    <tableColumn id="21" xr3:uid="{00000000-0010-0000-0000-000015000000}" name="Consequences Rationale"/>
    <tableColumn id="22" xr3:uid="{00000000-0010-0000-0000-000016000000}" name="Risk Score"/>
    <tableColumn id="23" xr3:uid="{00000000-0010-0000-0000-000017000000}" name="Risk Value"/>
    <tableColumn id="24" xr3:uid="{00000000-0010-0000-0000-000018000000}" name="Treatment Option Chosen"/>
    <tableColumn id="25" xr3:uid="{00000000-0010-0000-0000-000019000000}" name="Proposed Treatment Action"/>
    <tableColumn id="26" xr3:uid="{00000000-0010-0000-0000-00001A000000}" name="Annex A/Control(ISO-27001 and ISO 9001 Standard)"/>
    <tableColumn id="27" xr3:uid="{00000000-0010-0000-0000-00001B000000}" name="Treatment Action Owner"/>
    <tableColumn id="28" xr3:uid="{00000000-0010-0000-0000-00001C000000}" name="Treatment Action Timescale"/>
    <tableColumn id="29" xr3:uid="{00000000-0010-0000-0000-00001D000000}" name="Treatment Action Status"/>
    <tableColumn id="30" xr3:uid="{00000000-0010-0000-0000-00001E000000}" name="Post Treatment Asset Value"/>
    <tableColumn id="31" xr3:uid="{00000000-0010-0000-0000-00001F000000}" name="Post-Treatment Likelihood"/>
    <tableColumn id="32" xr3:uid="{00000000-0010-0000-0000-000020000000}" name="Post-Treatment Likelihood Score"/>
    <tableColumn id="33" xr3:uid="{00000000-0010-0000-0000-000021000000}" name="Post-Treatment Consequences"/>
    <tableColumn id="34" xr3:uid="{00000000-0010-0000-0000-000022000000}" name="Post-Treatment Consequences Score"/>
    <tableColumn id="35" xr3:uid="{00000000-0010-0000-0000-000023000000}" name="Post-Treatment Risk Score"/>
    <tableColumn id="36" xr3:uid="{00000000-0010-0000-0000-000024000000}" name="Post-Treatment Risk Level"/>
    <tableColumn id="37" xr3:uid="{00000000-0010-0000-0000-000025000000}" name="Comments"/>
    <tableColumn id="38" xr3:uid="{00000000-0010-0000-0000-000026000000}" name="Dash Ra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B2:L49"/>
  <sheetViews>
    <sheetView showGridLines="0" showRowColHeaders="0" topLeftCell="A23" zoomScaleNormal="100" workbookViewId="0"/>
  </sheetViews>
  <sheetFormatPr defaultColWidth="8.7265625" defaultRowHeight="14.5" x14ac:dyDescent="0.35"/>
  <cols>
    <col min="1" max="1" width="3" customWidth="1"/>
    <col min="2" max="2" width="30" customWidth="1"/>
    <col min="3" max="12" width="14" customWidth="1"/>
  </cols>
  <sheetData>
    <row r="2" spans="2:12" ht="1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15" customHeight="1" x14ac:dyDescent="0.3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15" customHeight="1" x14ac:dyDescent="0.35"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</row>
    <row r="6" spans="2:12" ht="21.75" customHeight="1" x14ac:dyDescent="0.35"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2:12" ht="15" customHeight="1" x14ac:dyDescent="0.35">
      <c r="B7" s="15" t="s">
        <v>3</v>
      </c>
      <c r="C7" s="11" t="s">
        <v>4</v>
      </c>
      <c r="D7" s="11"/>
      <c r="E7" s="11"/>
      <c r="F7" s="11"/>
      <c r="G7" s="11"/>
      <c r="H7" s="11"/>
      <c r="I7" s="11"/>
      <c r="J7" s="11"/>
      <c r="K7" s="11"/>
      <c r="L7" s="11"/>
    </row>
    <row r="8" spans="2:12" ht="15" customHeight="1" x14ac:dyDescent="0.35">
      <c r="B8" s="15" t="s">
        <v>5</v>
      </c>
      <c r="C8" s="11" t="s">
        <v>6</v>
      </c>
      <c r="D8" s="11"/>
      <c r="E8" s="11"/>
      <c r="F8" s="11"/>
      <c r="G8" s="11"/>
      <c r="H8" s="11"/>
      <c r="I8" s="11"/>
      <c r="J8" s="11"/>
      <c r="K8" s="11"/>
      <c r="L8" s="11"/>
    </row>
    <row r="9" spans="2:12" ht="15" customHeight="1" x14ac:dyDescent="0.35">
      <c r="B9" s="15" t="s">
        <v>7</v>
      </c>
      <c r="C9" s="11" t="s">
        <v>4</v>
      </c>
      <c r="D9" s="11"/>
      <c r="E9" s="11"/>
      <c r="F9" s="11"/>
      <c r="G9" s="11"/>
      <c r="H9" s="11"/>
      <c r="I9" s="11"/>
      <c r="J9" s="11"/>
      <c r="K9" s="11"/>
      <c r="L9" s="11"/>
    </row>
    <row r="10" spans="2:12" ht="15" customHeight="1" x14ac:dyDescent="0.35">
      <c r="B10" s="15" t="s">
        <v>8</v>
      </c>
      <c r="C10" s="11" t="s">
        <v>9</v>
      </c>
      <c r="D10" s="11"/>
      <c r="E10" s="11"/>
      <c r="F10" s="11"/>
      <c r="G10" s="11"/>
      <c r="H10" s="11"/>
      <c r="I10" s="11"/>
      <c r="J10" s="11"/>
      <c r="K10" s="11"/>
      <c r="L10" s="11"/>
    </row>
    <row r="11" spans="2:12" ht="15" customHeight="1" x14ac:dyDescent="0.35">
      <c r="B11" s="15" t="s">
        <v>10</v>
      </c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2:12" ht="15" customHeight="1" x14ac:dyDescent="0.35">
      <c r="B12" s="15" t="s">
        <v>12</v>
      </c>
      <c r="C12" s="11" t="s">
        <v>13</v>
      </c>
      <c r="D12" s="11"/>
      <c r="E12" s="11"/>
      <c r="F12" s="11"/>
      <c r="G12" s="11"/>
      <c r="H12" s="11"/>
      <c r="I12" s="11"/>
      <c r="J12" s="11"/>
      <c r="K12" s="11"/>
      <c r="L12" s="11"/>
    </row>
    <row r="13" spans="2:12" ht="15" customHeight="1" x14ac:dyDescent="0.35">
      <c r="B13" s="15" t="s">
        <v>14</v>
      </c>
      <c r="C13" s="11" t="s">
        <v>15</v>
      </c>
      <c r="D13" s="11"/>
      <c r="E13" s="11"/>
      <c r="F13" s="11"/>
      <c r="G13" s="11"/>
      <c r="H13" s="11"/>
      <c r="I13" s="11"/>
      <c r="J13" s="11"/>
      <c r="K13" s="11"/>
      <c r="L13" s="11"/>
    </row>
    <row r="15" spans="2:12" ht="21.75" customHeight="1" x14ac:dyDescent="0.35">
      <c r="B15" s="12" t="s">
        <v>16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2:12" ht="30" customHeight="1" x14ac:dyDescent="0.35">
      <c r="B16" s="17" t="s">
        <v>17</v>
      </c>
      <c r="C16" s="10" t="s">
        <v>18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2:12" ht="30" customHeight="1" x14ac:dyDescent="0.35">
      <c r="B17" s="17" t="s">
        <v>19</v>
      </c>
      <c r="C17" s="10" t="s">
        <v>20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2:12" ht="30" customHeight="1" x14ac:dyDescent="0.35">
      <c r="B18" s="17" t="s">
        <v>21</v>
      </c>
      <c r="C18" s="10" t="s">
        <v>22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2:12" ht="30" customHeight="1" x14ac:dyDescent="0.35">
      <c r="B19" s="17" t="s">
        <v>23</v>
      </c>
      <c r="C19" s="10" t="s">
        <v>24</v>
      </c>
      <c r="D19" s="10"/>
      <c r="E19" s="10"/>
      <c r="F19" s="10"/>
      <c r="G19" s="10"/>
      <c r="H19" s="10"/>
      <c r="I19" s="10"/>
      <c r="J19" s="10"/>
      <c r="K19" s="10"/>
      <c r="L19" s="10"/>
    </row>
    <row r="21" spans="2:12" ht="21.75" customHeight="1" x14ac:dyDescent="0.35">
      <c r="B21" s="12" t="s">
        <v>25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2:12" ht="25.5" customHeight="1" x14ac:dyDescent="0.35">
      <c r="B22" s="9" t="s">
        <v>26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2:12" ht="25.5" customHeight="1" x14ac:dyDescent="0.35">
      <c r="B23" s="9" t="s">
        <v>27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 ht="25.5" customHeight="1" x14ac:dyDescent="0.35">
      <c r="B24" s="9" t="s">
        <v>28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ht="25.5" customHeight="1" x14ac:dyDescent="0.35">
      <c r="B25" s="9" t="s">
        <v>29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ht="25.5" customHeight="1" x14ac:dyDescent="0.35">
      <c r="B26" s="9" t="s">
        <v>30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ht="25.5" customHeight="1" x14ac:dyDescent="0.35">
      <c r="B27" s="9" t="s">
        <v>31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9" spans="2:12" ht="21.75" customHeight="1" x14ac:dyDescent="0.35">
      <c r="B29" s="12" t="s">
        <v>32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2:12" ht="15" customHeight="1" x14ac:dyDescent="0.35">
      <c r="B30" s="8" t="s">
        <v>33</v>
      </c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2:12" ht="15" customHeight="1" x14ac:dyDescent="0.35">
      <c r="B31" s="8" t="s">
        <v>34</v>
      </c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2:12" ht="15" customHeight="1" x14ac:dyDescent="0.35">
      <c r="B32" s="8" t="s">
        <v>35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2:12" ht="15" customHeight="1" x14ac:dyDescent="0.35">
      <c r="B33" s="8" t="s">
        <v>36</v>
      </c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2:12" ht="15" customHeight="1" x14ac:dyDescent="0.35">
      <c r="B34" s="8" t="s">
        <v>37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" customHeight="1" x14ac:dyDescent="0.35">
      <c r="B35" s="8" t="s">
        <v>38</v>
      </c>
      <c r="C35" s="8"/>
      <c r="D35" s="8"/>
      <c r="E35" s="8"/>
      <c r="F35" s="8"/>
      <c r="G35" s="8"/>
      <c r="H35" s="8"/>
      <c r="I35" s="8"/>
      <c r="J35" s="8"/>
      <c r="K35" s="8"/>
      <c r="L35" s="8"/>
    </row>
    <row r="37" spans="2:12" ht="21.75" customHeight="1" x14ac:dyDescent="0.35">
      <c r="B37" s="12" t="s">
        <v>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2:12" ht="25.5" customHeight="1" x14ac:dyDescent="0.35">
      <c r="B38" s="9" t="s">
        <v>40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2:12" ht="25.5" customHeight="1" x14ac:dyDescent="0.35">
      <c r="B39" s="9" t="s">
        <v>41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2" ht="25.5" customHeight="1" x14ac:dyDescent="0.35">
      <c r="B40" s="9" t="s">
        <v>42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2:12" ht="25.5" customHeight="1" x14ac:dyDescent="0.35">
      <c r="B41" s="9" t="s">
        <v>43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2:12" ht="25.5" customHeight="1" x14ac:dyDescent="0.35">
      <c r="B42" s="9" t="s">
        <v>44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2" ht="25.5" customHeight="1" x14ac:dyDescent="0.35">
      <c r="B43" s="9" t="s">
        <v>45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2:12" ht="25.5" customHeight="1" x14ac:dyDescent="0.35">
      <c r="B44" s="9" t="s">
        <v>46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6" spans="2:12" ht="21.75" customHeight="1" x14ac:dyDescent="0.35">
      <c r="B46" s="12" t="s">
        <v>47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2:12" ht="15" customHeight="1" x14ac:dyDescent="0.35">
      <c r="B47" s="7" t="s">
        <v>48</v>
      </c>
      <c r="C47" s="7"/>
      <c r="D47" s="7" t="s">
        <v>49</v>
      </c>
      <c r="E47" s="7"/>
      <c r="F47" s="7" t="s">
        <v>50</v>
      </c>
      <c r="G47" s="7"/>
      <c r="H47" s="7"/>
      <c r="I47" s="7" t="s">
        <v>51</v>
      </c>
      <c r="J47" s="7"/>
      <c r="K47" s="7"/>
      <c r="L47" s="7"/>
    </row>
    <row r="48" spans="2:12" ht="15" customHeight="1" x14ac:dyDescent="0.35">
      <c r="B48" s="11" t="s">
        <v>52</v>
      </c>
      <c r="C48" s="11"/>
      <c r="D48" s="6">
        <v>46199</v>
      </c>
      <c r="E48" s="6"/>
      <c r="F48" s="11" t="s">
        <v>53</v>
      </c>
      <c r="G48" s="11"/>
      <c r="H48" s="11"/>
      <c r="I48" s="11" t="s">
        <v>54</v>
      </c>
      <c r="J48" s="11"/>
      <c r="K48" s="11"/>
      <c r="L48" s="11"/>
    </row>
    <row r="49" spans="2:12" ht="15" customHeight="1" x14ac:dyDescent="0.35">
      <c r="B49" s="11" t="s">
        <v>13</v>
      </c>
      <c r="C49" s="11"/>
      <c r="D49" s="6">
        <v>46239</v>
      </c>
      <c r="E49" s="6"/>
      <c r="F49" s="11" t="s">
        <v>55</v>
      </c>
      <c r="G49" s="11"/>
      <c r="H49" s="11"/>
      <c r="I49" s="11" t="s">
        <v>56</v>
      </c>
      <c r="J49" s="11"/>
      <c r="K49" s="11"/>
      <c r="L49" s="11"/>
    </row>
  </sheetData>
  <mergeCells count="50">
    <mergeCell ref="B48:C48"/>
    <mergeCell ref="D48:E48"/>
    <mergeCell ref="F48:H48"/>
    <mergeCell ref="I48:L48"/>
    <mergeCell ref="B49:C49"/>
    <mergeCell ref="D49:E49"/>
    <mergeCell ref="F49:H49"/>
    <mergeCell ref="I49:L49"/>
    <mergeCell ref="B43:L43"/>
    <mergeCell ref="B44:L44"/>
    <mergeCell ref="B46:L46"/>
    <mergeCell ref="B47:C47"/>
    <mergeCell ref="D47:E47"/>
    <mergeCell ref="F47:H47"/>
    <mergeCell ref="I47:L47"/>
    <mergeCell ref="B38:L38"/>
    <mergeCell ref="B39:L39"/>
    <mergeCell ref="B40:L40"/>
    <mergeCell ref="B41:L41"/>
    <mergeCell ref="B42:L42"/>
    <mergeCell ref="B32:L32"/>
    <mergeCell ref="B33:L33"/>
    <mergeCell ref="B34:L34"/>
    <mergeCell ref="B35:L35"/>
    <mergeCell ref="B37:L37"/>
    <mergeCell ref="B26:L26"/>
    <mergeCell ref="B27:L27"/>
    <mergeCell ref="B29:L29"/>
    <mergeCell ref="B30:L30"/>
    <mergeCell ref="B31:L31"/>
    <mergeCell ref="B21:L21"/>
    <mergeCell ref="B22:L22"/>
    <mergeCell ref="B23:L23"/>
    <mergeCell ref="B24:L24"/>
    <mergeCell ref="B25:L25"/>
    <mergeCell ref="B15:L15"/>
    <mergeCell ref="C16:L16"/>
    <mergeCell ref="C17:L17"/>
    <mergeCell ref="C18:L18"/>
    <mergeCell ref="C19:L19"/>
    <mergeCell ref="C9:L9"/>
    <mergeCell ref="C10:L10"/>
    <mergeCell ref="C11:L11"/>
    <mergeCell ref="C12:L12"/>
    <mergeCell ref="C13:L13"/>
    <mergeCell ref="B2:L3"/>
    <mergeCell ref="B4:L4"/>
    <mergeCell ref="B6:L6"/>
    <mergeCell ref="C7:L7"/>
    <mergeCell ref="C8:L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AQ12"/>
  <sheetViews>
    <sheetView showGridLines="0" showRowColHeaders="0" zoomScaleNormal="100" workbookViewId="0">
      <pane xSplit="4" ySplit="2" topLeftCell="Z3" activePane="bottomRight" state="frozen"/>
      <selection pane="topRight" activeCell="AH1" sqref="AH1"/>
      <selection pane="bottomLeft" activeCell="A11" sqref="A11"/>
      <selection pane="bottomRight" activeCell="AI3" sqref="AI3"/>
    </sheetView>
  </sheetViews>
  <sheetFormatPr defaultColWidth="8.7265625" defaultRowHeight="14.5" x14ac:dyDescent="0.35"/>
  <cols>
    <col min="1" max="1" width="6" customWidth="1"/>
    <col min="2" max="2" width="22" customWidth="1"/>
    <col min="3" max="4" width="26" customWidth="1"/>
    <col min="5" max="5" width="40" customWidth="1"/>
    <col min="6" max="6" width="55" customWidth="1"/>
    <col min="7" max="7" width="12" customWidth="1"/>
    <col min="8" max="8" width="45" customWidth="1"/>
    <col min="9" max="11" width="5" customWidth="1"/>
    <col min="12" max="12" width="11" customWidth="1"/>
    <col min="13" max="13" width="13" customWidth="1"/>
    <col min="14" max="14" width="14" customWidth="1"/>
    <col min="15" max="15" width="22" customWidth="1"/>
    <col min="16" max="16" width="14" customWidth="1"/>
    <col min="17" max="17" width="11" customWidth="1"/>
    <col min="18" max="18" width="45" customWidth="1"/>
    <col min="19" max="19" width="14" customWidth="1"/>
    <col min="20" max="20" width="11" customWidth="1"/>
    <col min="21" max="21" width="45" customWidth="1"/>
    <col min="22" max="22" width="11" customWidth="1"/>
    <col min="23" max="23" width="12" customWidth="1"/>
    <col min="24" max="24" width="15" customWidth="1"/>
    <col min="25" max="26" width="55" customWidth="1"/>
    <col min="27" max="27" width="22" customWidth="1"/>
    <col min="28" max="28" width="16" customWidth="1"/>
    <col min="29" max="29" width="15" customWidth="1"/>
    <col min="30" max="30" width="12" customWidth="1"/>
    <col min="31" max="31" width="15" customWidth="1"/>
    <col min="32" max="32" width="12" customWidth="1"/>
    <col min="33" max="33" width="15" customWidth="1"/>
    <col min="34" max="35" width="12" customWidth="1"/>
    <col min="36" max="36" width="14" customWidth="1"/>
    <col min="37" max="37" width="12" customWidth="1"/>
    <col min="38" max="38" width="15" customWidth="1"/>
    <col min="39" max="39" width="14" customWidth="1"/>
    <col min="40" max="41" width="15" customWidth="1"/>
    <col min="42" max="42" width="50" customWidth="1"/>
    <col min="43" max="43" width="10" hidden="1" customWidth="1"/>
  </cols>
  <sheetData>
    <row r="1" spans="1:38" ht="21.75" customHeight="1" x14ac:dyDescent="0.35">
      <c r="A1" s="5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4" t="s">
        <v>58</v>
      </c>
      <c r="W1" s="4"/>
      <c r="X1" s="4"/>
      <c r="Y1" s="4"/>
      <c r="Z1" s="4"/>
      <c r="AA1" s="4"/>
      <c r="AB1" s="4"/>
      <c r="AC1" s="4"/>
      <c r="AD1" s="5" t="s">
        <v>59</v>
      </c>
      <c r="AE1" s="5"/>
      <c r="AF1" s="5"/>
      <c r="AG1" s="5"/>
      <c r="AH1" s="5"/>
      <c r="AI1" s="5"/>
      <c r="AJ1" s="5"/>
      <c r="AK1" s="3" t="s">
        <v>60</v>
      </c>
      <c r="AL1" s="3"/>
    </row>
    <row r="2" spans="1:38" ht="45.75" customHeight="1" x14ac:dyDescent="0.35">
      <c r="A2" s="18" t="s">
        <v>61</v>
      </c>
      <c r="B2" s="18" t="s">
        <v>62</v>
      </c>
      <c r="C2" s="18" t="s">
        <v>63</v>
      </c>
      <c r="D2" s="18" t="s">
        <v>64</v>
      </c>
      <c r="E2" s="18" t="s">
        <v>65</v>
      </c>
      <c r="F2" s="18" t="s">
        <v>66</v>
      </c>
      <c r="G2" s="18" t="s">
        <v>67</v>
      </c>
      <c r="H2" s="18" t="s">
        <v>68</v>
      </c>
      <c r="I2" s="18" t="s">
        <v>69</v>
      </c>
      <c r="J2" s="18" t="s">
        <v>70</v>
      </c>
      <c r="K2" s="18" t="s">
        <v>71</v>
      </c>
      <c r="L2" s="18" t="s">
        <v>72</v>
      </c>
      <c r="M2" s="18" t="s">
        <v>73</v>
      </c>
      <c r="N2" s="18" t="s">
        <v>74</v>
      </c>
      <c r="O2" s="18" t="s">
        <v>75</v>
      </c>
      <c r="P2" s="18" t="s">
        <v>76</v>
      </c>
      <c r="Q2" s="18" t="s">
        <v>77</v>
      </c>
      <c r="R2" s="18" t="s">
        <v>78</v>
      </c>
      <c r="S2" s="18" t="s">
        <v>79</v>
      </c>
      <c r="T2" s="18" t="s">
        <v>80</v>
      </c>
      <c r="U2" s="18" t="s">
        <v>81</v>
      </c>
      <c r="V2" s="18" t="s">
        <v>82</v>
      </c>
      <c r="W2" s="18" t="s">
        <v>83</v>
      </c>
      <c r="X2" s="18" t="s">
        <v>84</v>
      </c>
      <c r="Y2" s="18" t="s">
        <v>85</v>
      </c>
      <c r="Z2" s="18" t="s">
        <v>86</v>
      </c>
      <c r="AA2" s="18" t="s">
        <v>87</v>
      </c>
      <c r="AB2" s="18" t="s">
        <v>88</v>
      </c>
      <c r="AC2" s="18" t="s">
        <v>89</v>
      </c>
      <c r="AD2" s="18" t="s">
        <v>90</v>
      </c>
      <c r="AE2" s="18" t="s">
        <v>91</v>
      </c>
      <c r="AF2" s="18" t="s">
        <v>92</v>
      </c>
      <c r="AG2" s="18" t="s">
        <v>93</v>
      </c>
      <c r="AH2" s="18" t="s">
        <v>94</v>
      </c>
      <c r="AI2" s="18" t="s">
        <v>95</v>
      </c>
      <c r="AJ2" s="18" t="s">
        <v>96</v>
      </c>
      <c r="AK2" s="18" t="s">
        <v>97</v>
      </c>
      <c r="AL2" s="19" t="s">
        <v>98</v>
      </c>
    </row>
    <row r="3" spans="1:38" ht="78" customHeight="1" x14ac:dyDescent="0.35">
      <c r="A3" s="20">
        <v>1</v>
      </c>
      <c r="B3" s="21" t="s">
        <v>99</v>
      </c>
      <c r="C3" s="22" t="s">
        <v>100</v>
      </c>
      <c r="D3" s="22" t="s">
        <v>101</v>
      </c>
      <c r="E3" s="22" t="s">
        <v>102</v>
      </c>
      <c r="F3" s="22" t="s">
        <v>103</v>
      </c>
      <c r="G3" s="21" t="s">
        <v>104</v>
      </c>
      <c r="H3" s="22" t="s">
        <v>105</v>
      </c>
      <c r="I3" s="20">
        <v>3</v>
      </c>
      <c r="J3" s="20">
        <v>2</v>
      </c>
      <c r="K3" s="20">
        <v>2</v>
      </c>
      <c r="L3" s="23">
        <f>IF(tblRiskRegister[[#This Row],[Ref]]="","",tblRiskRegister[[#This Row],[C]]*tblRiskRegister[[#This Row],[I]]*tblRiskRegister[[#This Row],[A]])</f>
        <v>12</v>
      </c>
      <c r="M3" s="23">
        <f>IF(tblRiskRegister[[#This Row],[Asset Value]]="","",IF(tblRiskRegister[[#This Row],[Asset Value]]&lt;=6,1,IF(tblRiskRegister[[#This Row],[Asset Value]]&lt;=12,2,3)))</f>
        <v>2</v>
      </c>
      <c r="N3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3" s="21" t="s">
        <v>106</v>
      </c>
      <c r="P3" s="21" t="s">
        <v>107</v>
      </c>
      <c r="Q3" s="23">
        <f>IFERROR(MATCH(tblRiskRegister[[#This Row],[Likelihood]],LikelihoodScale,0),"")</f>
        <v>2</v>
      </c>
      <c r="R3" s="22" t="s">
        <v>108</v>
      </c>
      <c r="S3" s="21" t="s">
        <v>109</v>
      </c>
      <c r="T3" s="23">
        <f>IFERROR(MATCH(tblRiskRegister[[#This Row],[Consequences]],ConsequenceScale,0),"")</f>
        <v>3</v>
      </c>
      <c r="U3" s="22" t="s">
        <v>110</v>
      </c>
      <c r="V3" s="23">
        <f>IFERROR(tblRiskRegister[[#This Row],[Asset Criticality / Rating]]*tblRiskRegister[[#This Row],[Likelihood Score]]*tblRiskRegister[[#This Row],[Consequence Score]],"")</f>
        <v>12</v>
      </c>
      <c r="W3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3" s="20" t="s">
        <v>111</v>
      </c>
      <c r="Y3" s="22" t="s">
        <v>112</v>
      </c>
      <c r="Z3" s="22" t="s">
        <v>113</v>
      </c>
      <c r="AA3" s="21" t="s">
        <v>106</v>
      </c>
      <c r="AB3" s="24">
        <v>46202</v>
      </c>
      <c r="AC3" s="25" t="s">
        <v>114</v>
      </c>
      <c r="AD3" s="23">
        <f>IF(tblRiskRegister[[#This Row],[Asset Criticality / Rating]]="","",tblRiskRegister[[#This Row],[Asset Criticality / Rating]])</f>
        <v>2</v>
      </c>
      <c r="AE3" s="21" t="s">
        <v>115</v>
      </c>
      <c r="AF3" s="23">
        <f>IFERROR(MATCH(tblRiskRegister[[#This Row],[Post-Treatment Likelihood]],LikelihoodScale,0),"")</f>
        <v>1</v>
      </c>
      <c r="AG3" s="21" t="s">
        <v>116</v>
      </c>
      <c r="AH3" s="23">
        <f>IFERROR(MATCH(tblRiskRegister[[#This Row],[Post-Treatment Consequences]],ConsequenceScale,0),"")</f>
        <v>2</v>
      </c>
      <c r="AI3" s="23">
        <f>IFERROR(tblRiskRegister[[#This Row],[Post Treatment Asset Value]]*tblRiskRegister[[#This Row],[Post-Treatment Likelihood Score]]*tblRiskRegister[[#This Row],[Post-Treatment Consequences Score]],"")</f>
        <v>4</v>
      </c>
      <c r="AJ3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3" s="22" t="s">
        <v>117</v>
      </c>
      <c r="AL3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4.0000299999999998</v>
      </c>
    </row>
    <row r="4" spans="1:38" ht="78" customHeight="1" x14ac:dyDescent="0.35">
      <c r="A4" s="20">
        <v>2</v>
      </c>
      <c r="B4" s="21" t="s">
        <v>99</v>
      </c>
      <c r="C4" s="22" t="s">
        <v>118</v>
      </c>
      <c r="D4" s="22" t="s">
        <v>119</v>
      </c>
      <c r="E4" s="22" t="s">
        <v>120</v>
      </c>
      <c r="F4" s="22" t="s">
        <v>121</v>
      </c>
      <c r="G4" s="26" t="s">
        <v>104</v>
      </c>
      <c r="H4" s="22" t="s">
        <v>122</v>
      </c>
      <c r="I4" s="20">
        <v>2</v>
      </c>
      <c r="J4" s="20">
        <v>2</v>
      </c>
      <c r="K4" s="20">
        <v>2</v>
      </c>
      <c r="L4" s="23">
        <f>IF(tblRiskRegister[[#This Row],[Ref]]="","",tblRiskRegister[[#This Row],[C]]*tblRiskRegister[[#This Row],[I]]*tblRiskRegister[[#This Row],[A]])</f>
        <v>8</v>
      </c>
      <c r="M4" s="23">
        <f>IF(tblRiskRegister[[#This Row],[Asset Value]]="","",IF(tblRiskRegister[[#This Row],[Asset Value]]&lt;=6,1,IF(tblRiskRegister[[#This Row],[Asset Value]]&lt;=12,2,3)))</f>
        <v>2</v>
      </c>
      <c r="N4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4" s="21" t="s">
        <v>106</v>
      </c>
      <c r="P4" s="21" t="s">
        <v>107</v>
      </c>
      <c r="Q4" s="23">
        <f>IFERROR(MATCH(tblRiskRegister[[#This Row],[Likelihood]],LikelihoodScale,0),"")</f>
        <v>2</v>
      </c>
      <c r="R4" s="22" t="s">
        <v>123</v>
      </c>
      <c r="S4" s="21" t="s">
        <v>109</v>
      </c>
      <c r="T4" s="23">
        <f>IFERROR(MATCH(tblRiskRegister[[#This Row],[Consequences]],ConsequenceScale,0),"")</f>
        <v>3</v>
      </c>
      <c r="U4" s="22" t="s">
        <v>124</v>
      </c>
      <c r="V4" s="23">
        <f>IFERROR(tblRiskRegister[[#This Row],[Asset Criticality / Rating]]*tblRiskRegister[[#This Row],[Likelihood Score]]*tblRiskRegister[[#This Row],[Consequence Score]],"")</f>
        <v>12</v>
      </c>
      <c r="W4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4" s="20" t="s">
        <v>111</v>
      </c>
      <c r="Y4" s="22" t="s">
        <v>125</v>
      </c>
      <c r="Z4" s="22" t="s">
        <v>126</v>
      </c>
      <c r="AA4" s="21" t="s">
        <v>106</v>
      </c>
      <c r="AB4" s="24">
        <v>46202</v>
      </c>
      <c r="AC4" s="20" t="s">
        <v>114</v>
      </c>
      <c r="AD4" s="23">
        <f>IF(tblRiskRegister[[#This Row],[Asset Criticality / Rating]]="","",tblRiskRegister[[#This Row],[Asset Criticality / Rating]])</f>
        <v>2</v>
      </c>
      <c r="AE4" s="21" t="s">
        <v>115</v>
      </c>
      <c r="AF4" s="23">
        <f>IFERROR(MATCH(tblRiskRegister[[#This Row],[Post-Treatment Likelihood]],LikelihoodScale,0),"")</f>
        <v>1</v>
      </c>
      <c r="AG4" s="21" t="s">
        <v>116</v>
      </c>
      <c r="AH4" s="23">
        <f>IFERROR(MATCH(tblRiskRegister[[#This Row],[Post-Treatment Consequences]],ConsequenceScale,0),"")</f>
        <v>2</v>
      </c>
      <c r="AI4" s="23">
        <f>IFERROR(tblRiskRegister[[#This Row],[Post Treatment Asset Value]]*tblRiskRegister[[#This Row],[Post-Treatment Likelihood Score]]*tblRiskRegister[[#This Row],[Post-Treatment Consequences Score]],"")</f>
        <v>4</v>
      </c>
      <c r="AJ4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4" s="22" t="s">
        <v>127</v>
      </c>
      <c r="AL4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4.0000400000000003</v>
      </c>
    </row>
    <row r="5" spans="1:38" ht="78" customHeight="1" x14ac:dyDescent="0.35">
      <c r="A5" s="20">
        <v>3</v>
      </c>
      <c r="B5" s="21" t="s">
        <v>128</v>
      </c>
      <c r="C5" s="22" t="s">
        <v>129</v>
      </c>
      <c r="D5" s="22" t="s">
        <v>130</v>
      </c>
      <c r="E5" s="22" t="s">
        <v>131</v>
      </c>
      <c r="F5" s="22" t="s">
        <v>132</v>
      </c>
      <c r="G5" s="21" t="s">
        <v>133</v>
      </c>
      <c r="H5" s="22" t="s">
        <v>134</v>
      </c>
      <c r="I5" s="20">
        <v>3</v>
      </c>
      <c r="J5" s="20">
        <v>3</v>
      </c>
      <c r="K5" s="20">
        <v>2</v>
      </c>
      <c r="L5" s="23">
        <f>IF(tblRiskRegister[[#This Row],[Ref]]="","",tblRiskRegister[[#This Row],[C]]*tblRiskRegister[[#This Row],[I]]*tblRiskRegister[[#This Row],[A]])</f>
        <v>18</v>
      </c>
      <c r="M5" s="23">
        <f>IF(tblRiskRegister[[#This Row],[Asset Value]]="","",IF(tblRiskRegister[[#This Row],[Asset Value]]&lt;=6,1,IF(tblRiskRegister[[#This Row],[Asset Value]]&lt;=12,2,3)))</f>
        <v>3</v>
      </c>
      <c r="N5" s="23" t="str">
        <f>IF(tblRiskRegister[[#This Row],[Asset Criticality / Rating]]="","",IF(tblRiskRegister[[#This Row],[Asset Criticality / Rating]]=3,"HIGH",IF(tblRiskRegister[[#This Row],[Asset Criticality / Rating]]=2,"MEDIUM","LOW")))</f>
        <v>HIGH</v>
      </c>
      <c r="O5" s="21" t="s">
        <v>135</v>
      </c>
      <c r="P5" s="21" t="s">
        <v>107</v>
      </c>
      <c r="Q5" s="23">
        <f>IFERROR(MATCH(tblRiskRegister[[#This Row],[Likelihood]],LikelihoodScale,0),"")</f>
        <v>2</v>
      </c>
      <c r="R5" s="22" t="s">
        <v>136</v>
      </c>
      <c r="S5" s="21" t="s">
        <v>109</v>
      </c>
      <c r="T5" s="23">
        <f>IFERROR(MATCH(tblRiskRegister[[#This Row],[Consequences]],ConsequenceScale,0),"")</f>
        <v>3</v>
      </c>
      <c r="U5" s="22" t="s">
        <v>137</v>
      </c>
      <c r="V5" s="23">
        <f>IFERROR(tblRiskRegister[[#This Row],[Asset Criticality / Rating]]*tblRiskRegister[[#This Row],[Likelihood Score]]*tblRiskRegister[[#This Row],[Consequence Score]],"")</f>
        <v>18</v>
      </c>
      <c r="W5" s="23" t="str">
        <f>IF(tblRiskRegister[[#This Row],[Risk Score]]="","",IF(tblRiskRegister[[#This Row],[Risk Score]]&gt;=HighThreshold,"HIGH",IF(tblRiskRegister[[#This Row],[Risk Score]]&gt;=MediumThreshold,"MEDIUM","LOW")))</f>
        <v>HIGH</v>
      </c>
      <c r="X5" s="20" t="s">
        <v>111</v>
      </c>
      <c r="Y5" s="22" t="s">
        <v>138</v>
      </c>
      <c r="Z5" s="22" t="s">
        <v>139</v>
      </c>
      <c r="AA5" s="21" t="s">
        <v>135</v>
      </c>
      <c r="AB5" s="24">
        <v>46199</v>
      </c>
      <c r="AC5" s="20" t="s">
        <v>114</v>
      </c>
      <c r="AD5" s="23">
        <f>IF(tblRiskRegister[[#This Row],[Asset Criticality / Rating]]="","",tblRiskRegister[[#This Row],[Asset Criticality / Rating]])</f>
        <v>3</v>
      </c>
      <c r="AE5" s="21" t="s">
        <v>115</v>
      </c>
      <c r="AF5" s="23">
        <f>IFERROR(MATCH(tblRiskRegister[[#This Row],[Post-Treatment Likelihood]],LikelihoodScale,0),"")</f>
        <v>1</v>
      </c>
      <c r="AG5" s="21" t="s">
        <v>116</v>
      </c>
      <c r="AH5" s="23">
        <f>IFERROR(MATCH(tblRiskRegister[[#This Row],[Post-Treatment Consequences]],ConsequenceScale,0),"")</f>
        <v>2</v>
      </c>
      <c r="AI5" s="23">
        <f>IFERROR(tblRiskRegister[[#This Row],[Post Treatment Asset Value]]*tblRiskRegister[[#This Row],[Post-Treatment Likelihood Score]]*tblRiskRegister[[#This Row],[Post-Treatment Consequences Score]],"")</f>
        <v>6</v>
      </c>
      <c r="AJ5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5" s="22" t="s">
        <v>140</v>
      </c>
      <c r="AL5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6.0000499999999999</v>
      </c>
    </row>
    <row r="6" spans="1:38" ht="78" customHeight="1" x14ac:dyDescent="0.35">
      <c r="A6" s="20">
        <v>4</v>
      </c>
      <c r="B6" s="21" t="s">
        <v>141</v>
      </c>
      <c r="C6" s="22" t="s">
        <v>142</v>
      </c>
      <c r="D6" s="22" t="s">
        <v>143</v>
      </c>
      <c r="E6" s="22" t="s">
        <v>144</v>
      </c>
      <c r="F6" s="22" t="s">
        <v>145</v>
      </c>
      <c r="G6" s="21" t="s">
        <v>133</v>
      </c>
      <c r="H6" s="22" t="s">
        <v>146</v>
      </c>
      <c r="I6" s="20">
        <v>3</v>
      </c>
      <c r="J6" s="20">
        <v>2</v>
      </c>
      <c r="K6" s="20">
        <v>3</v>
      </c>
      <c r="L6" s="23">
        <f>IF(tblRiskRegister[[#This Row],[Ref]]="","",tblRiskRegister[[#This Row],[C]]*tblRiskRegister[[#This Row],[I]]*tblRiskRegister[[#This Row],[A]])</f>
        <v>18</v>
      </c>
      <c r="M6" s="23">
        <f>IF(tblRiskRegister[[#This Row],[Asset Value]]="","",IF(tblRiskRegister[[#This Row],[Asset Value]]&lt;=6,1,IF(tblRiskRegister[[#This Row],[Asset Value]]&lt;=12,2,3)))</f>
        <v>3</v>
      </c>
      <c r="N6" s="23" t="str">
        <f>IF(tblRiskRegister[[#This Row],[Asset Criticality / Rating]]="","",IF(tblRiskRegister[[#This Row],[Asset Criticality / Rating]]=3,"HIGH",IF(tblRiskRegister[[#This Row],[Asset Criticality / Rating]]=2,"MEDIUM","LOW")))</f>
        <v>HIGH</v>
      </c>
      <c r="O6" s="21" t="s">
        <v>147</v>
      </c>
      <c r="P6" s="21" t="s">
        <v>107</v>
      </c>
      <c r="Q6" s="23">
        <f>IFERROR(MATCH(tblRiskRegister[[#This Row],[Likelihood]],LikelihoodScale,0),"")</f>
        <v>2</v>
      </c>
      <c r="R6" s="22" t="s">
        <v>148</v>
      </c>
      <c r="S6" s="21" t="s">
        <v>109</v>
      </c>
      <c r="T6" s="23">
        <f>IFERROR(MATCH(tblRiskRegister[[#This Row],[Consequences]],ConsequenceScale,0),"")</f>
        <v>3</v>
      </c>
      <c r="U6" s="22" t="s">
        <v>149</v>
      </c>
      <c r="V6" s="23">
        <f>IFERROR(tblRiskRegister[[#This Row],[Asset Criticality / Rating]]*tblRiskRegister[[#This Row],[Likelihood Score]]*tblRiskRegister[[#This Row],[Consequence Score]],"")</f>
        <v>18</v>
      </c>
      <c r="W6" s="23" t="str">
        <f>IF(tblRiskRegister[[#This Row],[Risk Score]]="","",IF(tblRiskRegister[[#This Row],[Risk Score]]&gt;=HighThreshold,"HIGH",IF(tblRiskRegister[[#This Row],[Risk Score]]&gt;=MediumThreshold,"MEDIUM","LOW")))</f>
        <v>HIGH</v>
      </c>
      <c r="X6" s="20" t="s">
        <v>111</v>
      </c>
      <c r="Y6" s="22" t="s">
        <v>150</v>
      </c>
      <c r="Z6" s="22" t="s">
        <v>151</v>
      </c>
      <c r="AA6" s="21" t="s">
        <v>147</v>
      </c>
      <c r="AB6" s="24">
        <v>46202</v>
      </c>
      <c r="AC6" s="20" t="s">
        <v>114</v>
      </c>
      <c r="AD6" s="23">
        <f>IF(tblRiskRegister[[#This Row],[Asset Criticality / Rating]]="","",tblRiskRegister[[#This Row],[Asset Criticality / Rating]])</f>
        <v>3</v>
      </c>
      <c r="AE6" s="21" t="s">
        <v>115</v>
      </c>
      <c r="AF6" s="23">
        <f>IFERROR(MATCH(tblRiskRegister[[#This Row],[Post-Treatment Likelihood]],LikelihoodScale,0),"")</f>
        <v>1</v>
      </c>
      <c r="AG6" s="21" t="s">
        <v>116</v>
      </c>
      <c r="AH6" s="23">
        <f>IFERROR(MATCH(tblRiskRegister[[#This Row],[Post-Treatment Consequences]],ConsequenceScale,0),"")</f>
        <v>2</v>
      </c>
      <c r="AI6" s="23">
        <f>IFERROR(tblRiskRegister[[#This Row],[Post Treatment Asset Value]]*tblRiskRegister[[#This Row],[Post-Treatment Likelihood Score]]*tblRiskRegister[[#This Row],[Post-Treatment Consequences Score]],"")</f>
        <v>6</v>
      </c>
      <c r="AJ6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6" s="22" t="s">
        <v>152</v>
      </c>
      <c r="AL6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6.0000600000000004</v>
      </c>
    </row>
    <row r="7" spans="1:38" ht="78" customHeight="1" x14ac:dyDescent="0.35">
      <c r="A7" s="20">
        <v>5</v>
      </c>
      <c r="B7" s="21" t="s">
        <v>141</v>
      </c>
      <c r="C7" s="22" t="s">
        <v>153</v>
      </c>
      <c r="D7" s="22" t="s">
        <v>154</v>
      </c>
      <c r="E7" s="22" t="s">
        <v>155</v>
      </c>
      <c r="F7" s="22" t="s">
        <v>156</v>
      </c>
      <c r="G7" s="21" t="s">
        <v>133</v>
      </c>
      <c r="H7" s="22" t="s">
        <v>157</v>
      </c>
      <c r="I7" s="20">
        <v>2</v>
      </c>
      <c r="J7" s="20">
        <v>2</v>
      </c>
      <c r="K7" s="20">
        <v>2</v>
      </c>
      <c r="L7" s="23">
        <f>IF(tblRiskRegister[[#This Row],[Ref]]="","",tblRiskRegister[[#This Row],[C]]*tblRiskRegister[[#This Row],[I]]*tblRiskRegister[[#This Row],[A]])</f>
        <v>8</v>
      </c>
      <c r="M7" s="23">
        <f>IF(tblRiskRegister[[#This Row],[Asset Value]]="","",IF(tblRiskRegister[[#This Row],[Asset Value]]&lt;=6,1,IF(tblRiskRegister[[#This Row],[Asset Value]]&lt;=12,2,3)))</f>
        <v>2</v>
      </c>
      <c r="N7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7" s="21" t="s">
        <v>147</v>
      </c>
      <c r="P7" s="21" t="s">
        <v>107</v>
      </c>
      <c r="Q7" s="23">
        <f>IFERROR(MATCH(tblRiskRegister[[#This Row],[Likelihood]],LikelihoodScale,0),"")</f>
        <v>2</v>
      </c>
      <c r="R7" s="22" t="s">
        <v>158</v>
      </c>
      <c r="S7" s="21" t="s">
        <v>109</v>
      </c>
      <c r="T7" s="23">
        <f>IFERROR(MATCH(tblRiskRegister[[#This Row],[Consequences]],ConsequenceScale,0),"")</f>
        <v>3</v>
      </c>
      <c r="U7" s="22" t="s">
        <v>159</v>
      </c>
      <c r="V7" s="23">
        <f>IFERROR(tblRiskRegister[[#This Row],[Asset Criticality / Rating]]*tblRiskRegister[[#This Row],[Likelihood Score]]*tblRiskRegister[[#This Row],[Consequence Score]],"")</f>
        <v>12</v>
      </c>
      <c r="W7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7" s="20" t="s">
        <v>111</v>
      </c>
      <c r="Y7" s="22" t="s">
        <v>160</v>
      </c>
      <c r="Z7" s="22" t="s">
        <v>161</v>
      </c>
      <c r="AA7" s="21" t="s">
        <v>147</v>
      </c>
      <c r="AB7" s="24">
        <v>46199</v>
      </c>
      <c r="AC7" s="20" t="s">
        <v>114</v>
      </c>
      <c r="AD7" s="23">
        <f>IF(tblRiskRegister[[#This Row],[Asset Criticality / Rating]]="","",tblRiskRegister[[#This Row],[Asset Criticality / Rating]])</f>
        <v>2</v>
      </c>
      <c r="AE7" s="21" t="s">
        <v>115</v>
      </c>
      <c r="AF7" s="23">
        <f>IFERROR(MATCH(tblRiskRegister[[#This Row],[Post-Treatment Likelihood]],LikelihoodScale,0),"")</f>
        <v>1</v>
      </c>
      <c r="AG7" s="21" t="s">
        <v>116</v>
      </c>
      <c r="AH7" s="23">
        <f>IFERROR(MATCH(tblRiskRegister[[#This Row],[Post-Treatment Consequences]],ConsequenceScale,0),"")</f>
        <v>2</v>
      </c>
      <c r="AI7" s="23">
        <f>IFERROR(tblRiskRegister[[#This Row],[Post Treatment Asset Value]]*tblRiskRegister[[#This Row],[Post-Treatment Likelihood Score]]*tblRiskRegister[[#This Row],[Post-Treatment Consequences Score]],"")</f>
        <v>4</v>
      </c>
      <c r="AJ7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7" s="22" t="s">
        <v>162</v>
      </c>
      <c r="AL7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4.00007</v>
      </c>
    </row>
    <row r="8" spans="1:38" ht="78" customHeight="1" x14ac:dyDescent="0.35">
      <c r="A8" s="20">
        <v>6</v>
      </c>
      <c r="B8" s="21" t="s">
        <v>163</v>
      </c>
      <c r="C8" s="22" t="s">
        <v>164</v>
      </c>
      <c r="D8" s="22" t="s">
        <v>165</v>
      </c>
      <c r="E8" s="22" t="s">
        <v>166</v>
      </c>
      <c r="F8" s="22" t="s">
        <v>167</v>
      </c>
      <c r="G8" s="21" t="s">
        <v>133</v>
      </c>
      <c r="H8" s="22" t="s">
        <v>168</v>
      </c>
      <c r="I8" s="20">
        <v>3</v>
      </c>
      <c r="J8" s="20">
        <v>2</v>
      </c>
      <c r="K8" s="20">
        <v>2</v>
      </c>
      <c r="L8" s="23">
        <f>IF(tblRiskRegister[[#This Row],[Ref]]="","",tblRiskRegister[[#This Row],[C]]*tblRiskRegister[[#This Row],[I]]*tblRiskRegister[[#This Row],[A]])</f>
        <v>12</v>
      </c>
      <c r="M8" s="23">
        <f>IF(tblRiskRegister[[#This Row],[Asset Value]]="","",IF(tblRiskRegister[[#This Row],[Asset Value]]&lt;=6,1,IF(tblRiskRegister[[#This Row],[Asset Value]]&lt;=12,2,3)))</f>
        <v>2</v>
      </c>
      <c r="N8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8" s="21" t="s">
        <v>106</v>
      </c>
      <c r="P8" s="21" t="s">
        <v>107</v>
      </c>
      <c r="Q8" s="23">
        <f>IFERROR(MATCH(tblRiskRegister[[#This Row],[Likelihood]],LikelihoodScale,0),"")</f>
        <v>2</v>
      </c>
      <c r="R8" s="22" t="s">
        <v>169</v>
      </c>
      <c r="S8" s="21" t="s">
        <v>109</v>
      </c>
      <c r="T8" s="23">
        <f>IFERROR(MATCH(tblRiskRegister[[#This Row],[Consequences]],ConsequenceScale,0),"")</f>
        <v>3</v>
      </c>
      <c r="U8" s="22" t="s">
        <v>170</v>
      </c>
      <c r="V8" s="23">
        <f>IFERROR(tblRiskRegister[[#This Row],[Asset Criticality / Rating]]*tblRiskRegister[[#This Row],[Likelihood Score]]*tblRiskRegister[[#This Row],[Consequence Score]],"")</f>
        <v>12</v>
      </c>
      <c r="W8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8" s="20" t="s">
        <v>111</v>
      </c>
      <c r="Y8" s="22" t="s">
        <v>171</v>
      </c>
      <c r="Z8" s="22" t="s">
        <v>172</v>
      </c>
      <c r="AA8" s="21" t="s">
        <v>106</v>
      </c>
      <c r="AB8" s="24">
        <v>46199</v>
      </c>
      <c r="AC8" s="20" t="s">
        <v>114</v>
      </c>
      <c r="AD8" s="23">
        <f>IF(tblRiskRegister[[#This Row],[Asset Criticality / Rating]]="","",tblRiskRegister[[#This Row],[Asset Criticality / Rating]])</f>
        <v>2</v>
      </c>
      <c r="AE8" s="21" t="s">
        <v>115</v>
      </c>
      <c r="AF8" s="23">
        <f>IFERROR(MATCH(tblRiskRegister[[#This Row],[Post-Treatment Likelihood]],LikelihoodScale,0),"")</f>
        <v>1</v>
      </c>
      <c r="AG8" s="21" t="s">
        <v>116</v>
      </c>
      <c r="AH8" s="23">
        <f>IFERROR(MATCH(tblRiskRegister[[#This Row],[Post-Treatment Consequences]],ConsequenceScale,0),"")</f>
        <v>2</v>
      </c>
      <c r="AI8" s="23">
        <f>IFERROR(tblRiskRegister[[#This Row],[Post Treatment Asset Value]]*tblRiskRegister[[#This Row],[Post-Treatment Likelihood Score]]*tblRiskRegister[[#This Row],[Post-Treatment Consequences Score]],"")</f>
        <v>4</v>
      </c>
      <c r="AJ8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8" s="22" t="s">
        <v>173</v>
      </c>
      <c r="AL8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4.0000799999999996</v>
      </c>
    </row>
    <row r="9" spans="1:38" ht="78" customHeight="1" x14ac:dyDescent="0.35">
      <c r="A9" s="20">
        <v>7</v>
      </c>
      <c r="B9" s="21" t="s">
        <v>163</v>
      </c>
      <c r="C9" s="22" t="s">
        <v>174</v>
      </c>
      <c r="D9" s="22" t="s">
        <v>175</v>
      </c>
      <c r="E9" s="22" t="s">
        <v>176</v>
      </c>
      <c r="F9" s="22" t="s">
        <v>177</v>
      </c>
      <c r="G9" s="21" t="s">
        <v>178</v>
      </c>
      <c r="H9" s="22" t="s">
        <v>179</v>
      </c>
      <c r="I9" s="20">
        <v>2</v>
      </c>
      <c r="J9" s="20">
        <v>3</v>
      </c>
      <c r="K9" s="20">
        <v>2</v>
      </c>
      <c r="L9" s="23">
        <f>IF(tblRiskRegister[[#This Row],[Ref]]="","",tblRiskRegister[[#This Row],[C]]*tblRiskRegister[[#This Row],[I]]*tblRiskRegister[[#This Row],[A]])</f>
        <v>12</v>
      </c>
      <c r="M9" s="23">
        <f>IF(tblRiskRegister[[#This Row],[Asset Value]]="","",IF(tblRiskRegister[[#This Row],[Asset Value]]&lt;=6,1,IF(tblRiskRegister[[#This Row],[Asset Value]]&lt;=12,2,3)))</f>
        <v>2</v>
      </c>
      <c r="N9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9" s="21" t="s">
        <v>55</v>
      </c>
      <c r="P9" s="21" t="s">
        <v>107</v>
      </c>
      <c r="Q9" s="23">
        <f>IFERROR(MATCH(tblRiskRegister[[#This Row],[Likelihood]],LikelihoodScale,0),"")</f>
        <v>2</v>
      </c>
      <c r="R9" s="22" t="s">
        <v>180</v>
      </c>
      <c r="S9" s="21" t="s">
        <v>109</v>
      </c>
      <c r="T9" s="23">
        <f>IFERROR(MATCH(tblRiskRegister[[#This Row],[Consequences]],ConsequenceScale,0),"")</f>
        <v>3</v>
      </c>
      <c r="U9" s="22" t="s">
        <v>181</v>
      </c>
      <c r="V9" s="23">
        <f>IFERROR(tblRiskRegister[[#This Row],[Asset Criticality / Rating]]*tblRiskRegister[[#This Row],[Likelihood Score]]*tblRiskRegister[[#This Row],[Consequence Score]],"")</f>
        <v>12</v>
      </c>
      <c r="W9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9" s="20" t="s">
        <v>111</v>
      </c>
      <c r="Y9" s="22" t="s">
        <v>182</v>
      </c>
      <c r="Z9" s="22" t="s">
        <v>183</v>
      </c>
      <c r="AA9" s="21" t="s">
        <v>55</v>
      </c>
      <c r="AB9" s="24">
        <v>46199</v>
      </c>
      <c r="AC9" s="20" t="s">
        <v>114</v>
      </c>
      <c r="AD9" s="23">
        <f>IF(tblRiskRegister[[#This Row],[Asset Criticality / Rating]]="","",tblRiskRegister[[#This Row],[Asset Criticality / Rating]])</f>
        <v>2</v>
      </c>
      <c r="AE9" s="21" t="s">
        <v>115</v>
      </c>
      <c r="AF9" s="23">
        <f>IFERROR(MATCH(tblRiskRegister[[#This Row],[Post-Treatment Likelihood]],LikelihoodScale,0),"")</f>
        <v>1</v>
      </c>
      <c r="AG9" s="21" t="s">
        <v>116</v>
      </c>
      <c r="AH9" s="23">
        <f>IFERROR(MATCH(tblRiskRegister[[#This Row],[Post-Treatment Consequences]],ConsequenceScale,0),"")</f>
        <v>2</v>
      </c>
      <c r="AI9" s="23">
        <f>IFERROR(tblRiskRegister[[#This Row],[Post Treatment Asset Value]]*tblRiskRegister[[#This Row],[Post-Treatment Likelihood Score]]*tblRiskRegister[[#This Row],[Post-Treatment Consequences Score]],"")</f>
        <v>4</v>
      </c>
      <c r="AJ9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9" s="22" t="s">
        <v>184</v>
      </c>
      <c r="AL9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4.0000900000000001</v>
      </c>
    </row>
    <row r="10" spans="1:38" ht="78" customHeight="1" x14ac:dyDescent="0.35">
      <c r="A10" s="20">
        <v>8</v>
      </c>
      <c r="B10" s="21" t="s">
        <v>185</v>
      </c>
      <c r="C10" s="22" t="s">
        <v>186</v>
      </c>
      <c r="D10" s="22" t="s">
        <v>187</v>
      </c>
      <c r="E10" s="22" t="s">
        <v>188</v>
      </c>
      <c r="F10" s="22" t="s">
        <v>189</v>
      </c>
      <c r="G10" s="21" t="s">
        <v>178</v>
      </c>
      <c r="H10" s="22" t="s">
        <v>190</v>
      </c>
      <c r="I10" s="20">
        <v>2</v>
      </c>
      <c r="J10" s="20">
        <v>2</v>
      </c>
      <c r="K10" s="20">
        <v>2</v>
      </c>
      <c r="L10" s="23">
        <f>IF(tblRiskRegister[[#This Row],[Ref]]="","",tblRiskRegister[[#This Row],[C]]*tblRiskRegister[[#This Row],[I]]*tblRiskRegister[[#This Row],[A]])</f>
        <v>8</v>
      </c>
      <c r="M10" s="23">
        <f>IF(tblRiskRegister[[#This Row],[Asset Value]]="","",IF(tblRiskRegister[[#This Row],[Asset Value]]&lt;=6,1,IF(tblRiskRegister[[#This Row],[Asset Value]]&lt;=12,2,3)))</f>
        <v>2</v>
      </c>
      <c r="N10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10" s="21" t="s">
        <v>191</v>
      </c>
      <c r="P10" s="21" t="s">
        <v>107</v>
      </c>
      <c r="Q10" s="23">
        <f>IFERROR(MATCH(tblRiskRegister[[#This Row],[Likelihood]],LikelihoodScale,0),"")</f>
        <v>2</v>
      </c>
      <c r="R10" s="22" t="s">
        <v>192</v>
      </c>
      <c r="S10" s="21" t="s">
        <v>116</v>
      </c>
      <c r="T10" s="23">
        <f>IFERROR(MATCH(tblRiskRegister[[#This Row],[Consequences]],ConsequenceScale,0),"")</f>
        <v>2</v>
      </c>
      <c r="U10" s="22" t="s">
        <v>193</v>
      </c>
      <c r="V10" s="23">
        <f>IFERROR(tblRiskRegister[[#This Row],[Asset Criticality / Rating]]*tblRiskRegister[[#This Row],[Likelihood Score]]*tblRiskRegister[[#This Row],[Consequence Score]],"")</f>
        <v>8</v>
      </c>
      <c r="W10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10" s="20" t="s">
        <v>111</v>
      </c>
      <c r="Y10" s="22" t="s">
        <v>194</v>
      </c>
      <c r="Z10" s="22" t="s">
        <v>195</v>
      </c>
      <c r="AA10" s="21" t="s">
        <v>191</v>
      </c>
      <c r="AB10" s="24">
        <v>46199</v>
      </c>
      <c r="AC10" s="20" t="s">
        <v>114</v>
      </c>
      <c r="AD10" s="23">
        <f>IF(tblRiskRegister[[#This Row],[Asset Criticality / Rating]]="","",tblRiskRegister[[#This Row],[Asset Criticality / Rating]])</f>
        <v>2</v>
      </c>
      <c r="AE10" s="21" t="s">
        <v>115</v>
      </c>
      <c r="AF10" s="23">
        <f>IFERROR(MATCH(tblRiskRegister[[#This Row],[Post-Treatment Likelihood]],LikelihoodScale,0),"")</f>
        <v>1</v>
      </c>
      <c r="AG10" s="21" t="s">
        <v>196</v>
      </c>
      <c r="AH10" s="23">
        <f>IFERROR(MATCH(tblRiskRegister[[#This Row],[Post-Treatment Consequences]],ConsequenceScale,0),"")</f>
        <v>1</v>
      </c>
      <c r="AI10" s="23">
        <f>IFERROR(tblRiskRegister[[#This Row],[Post Treatment Asset Value]]*tblRiskRegister[[#This Row],[Post-Treatment Likelihood Score]]*tblRiskRegister[[#This Row],[Post-Treatment Consequences Score]],"")</f>
        <v>2</v>
      </c>
      <c r="AJ10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10" s="22" t="s">
        <v>197</v>
      </c>
      <c r="AL10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2.0001000000000002</v>
      </c>
    </row>
    <row r="11" spans="1:38" ht="78" customHeight="1" x14ac:dyDescent="0.35">
      <c r="A11" s="20">
        <v>9</v>
      </c>
      <c r="B11" s="21" t="s">
        <v>141</v>
      </c>
      <c r="C11" s="22" t="s">
        <v>198</v>
      </c>
      <c r="D11" s="22" t="s">
        <v>199</v>
      </c>
      <c r="E11" s="22" t="s">
        <v>200</v>
      </c>
      <c r="F11" s="22" t="s">
        <v>201</v>
      </c>
      <c r="G11" s="21" t="s">
        <v>133</v>
      </c>
      <c r="H11" s="22" t="s">
        <v>202</v>
      </c>
      <c r="I11" s="20">
        <v>2</v>
      </c>
      <c r="J11" s="20">
        <v>3</v>
      </c>
      <c r="K11" s="20">
        <v>3</v>
      </c>
      <c r="L11" s="23">
        <f>IF(tblRiskRegister[[#This Row],[Ref]]="","",tblRiskRegister[[#This Row],[C]]*tblRiskRegister[[#This Row],[I]]*tblRiskRegister[[#This Row],[A]])</f>
        <v>18</v>
      </c>
      <c r="M11" s="23">
        <f>IF(tblRiskRegister[[#This Row],[Asset Value]]="","",IF(tblRiskRegister[[#This Row],[Asset Value]]&lt;=6,1,IF(tblRiskRegister[[#This Row],[Asset Value]]&lt;=12,2,3)))</f>
        <v>3</v>
      </c>
      <c r="N11" s="23" t="str">
        <f>IF(tblRiskRegister[[#This Row],[Asset Criticality / Rating]]="","",IF(tblRiskRegister[[#This Row],[Asset Criticality / Rating]]=3,"HIGH",IF(tblRiskRegister[[#This Row],[Asset Criticality / Rating]]=2,"MEDIUM","LOW")))</f>
        <v>HIGH</v>
      </c>
      <c r="O11" s="21" t="s">
        <v>147</v>
      </c>
      <c r="P11" s="21" t="s">
        <v>107</v>
      </c>
      <c r="Q11" s="23">
        <f>IFERROR(MATCH(tblRiskRegister[[#This Row],[Likelihood]],LikelihoodScale,0),"")</f>
        <v>2</v>
      </c>
      <c r="R11" s="22" t="s">
        <v>203</v>
      </c>
      <c r="S11" s="21" t="s">
        <v>109</v>
      </c>
      <c r="T11" s="23">
        <f>IFERROR(MATCH(tblRiskRegister[[#This Row],[Consequences]],ConsequenceScale,0),"")</f>
        <v>3</v>
      </c>
      <c r="U11" s="22" t="s">
        <v>204</v>
      </c>
      <c r="V11" s="23">
        <f>IFERROR(tblRiskRegister[[#This Row],[Asset Criticality / Rating]]*tblRiskRegister[[#This Row],[Likelihood Score]]*tblRiskRegister[[#This Row],[Consequence Score]],"")</f>
        <v>18</v>
      </c>
      <c r="W11" s="23" t="str">
        <f>IF(tblRiskRegister[[#This Row],[Risk Score]]="","",IF(tblRiskRegister[[#This Row],[Risk Score]]&gt;=HighThreshold,"HIGH",IF(tblRiskRegister[[#This Row],[Risk Score]]&gt;=MediumThreshold,"MEDIUM","LOW")))</f>
        <v>HIGH</v>
      </c>
      <c r="X11" s="20" t="s">
        <v>111</v>
      </c>
      <c r="Y11" s="22" t="s">
        <v>205</v>
      </c>
      <c r="Z11" s="22" t="s">
        <v>206</v>
      </c>
      <c r="AA11" s="21" t="s">
        <v>147</v>
      </c>
      <c r="AB11" s="24">
        <v>46199</v>
      </c>
      <c r="AC11" s="20" t="s">
        <v>114</v>
      </c>
      <c r="AD11" s="23">
        <f>IF(tblRiskRegister[[#This Row],[Asset Criticality / Rating]]="","",tblRiskRegister[[#This Row],[Asset Criticality / Rating]])</f>
        <v>3</v>
      </c>
      <c r="AE11" s="21" t="s">
        <v>115</v>
      </c>
      <c r="AF11" s="23">
        <f>IFERROR(MATCH(tblRiskRegister[[#This Row],[Post-Treatment Likelihood]],LikelihoodScale,0),"")</f>
        <v>1</v>
      </c>
      <c r="AG11" s="21" t="s">
        <v>116</v>
      </c>
      <c r="AH11" s="23">
        <f>IFERROR(MATCH(tblRiskRegister[[#This Row],[Post-Treatment Consequences]],ConsequenceScale,0),"")</f>
        <v>2</v>
      </c>
      <c r="AI11" s="23">
        <f>IFERROR(tblRiskRegister[[#This Row],[Post Treatment Asset Value]]*tblRiskRegister[[#This Row],[Post-Treatment Likelihood Score]]*tblRiskRegister[[#This Row],[Post-Treatment Consequences Score]],"")</f>
        <v>6</v>
      </c>
      <c r="AJ11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11" s="22" t="s">
        <v>207</v>
      </c>
      <c r="AL11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6.0001100000000003</v>
      </c>
    </row>
    <row r="12" spans="1:38" ht="78" customHeight="1" x14ac:dyDescent="0.35">
      <c r="A12" s="20">
        <v>10</v>
      </c>
      <c r="B12" s="21" t="s">
        <v>163</v>
      </c>
      <c r="C12" s="22" t="s">
        <v>208</v>
      </c>
      <c r="D12" s="22" t="s">
        <v>209</v>
      </c>
      <c r="E12" s="22" t="s">
        <v>210</v>
      </c>
      <c r="F12" s="22" t="s">
        <v>211</v>
      </c>
      <c r="G12" s="21" t="s">
        <v>133</v>
      </c>
      <c r="H12" s="22" t="s">
        <v>212</v>
      </c>
      <c r="I12" s="20">
        <v>2</v>
      </c>
      <c r="J12" s="20">
        <v>3</v>
      </c>
      <c r="K12" s="20">
        <v>2</v>
      </c>
      <c r="L12" s="23">
        <f>IF(tblRiskRegister[[#This Row],[Ref]]="","",tblRiskRegister[[#This Row],[C]]*tblRiskRegister[[#This Row],[I]]*tblRiskRegister[[#This Row],[A]])</f>
        <v>12</v>
      </c>
      <c r="M12" s="23">
        <f>IF(tblRiskRegister[[#This Row],[Asset Value]]="","",IF(tblRiskRegister[[#This Row],[Asset Value]]&lt;=6,1,IF(tblRiskRegister[[#This Row],[Asset Value]]&lt;=12,2,3)))</f>
        <v>2</v>
      </c>
      <c r="N12" s="23" t="str">
        <f>IF(tblRiskRegister[[#This Row],[Asset Criticality / Rating]]="","",IF(tblRiskRegister[[#This Row],[Asset Criticality / Rating]]=3,"HIGH",IF(tblRiskRegister[[#This Row],[Asset Criticality / Rating]]=2,"MEDIUM","LOW")))</f>
        <v>MEDIUM</v>
      </c>
      <c r="O12" s="21" t="s">
        <v>147</v>
      </c>
      <c r="P12" s="21" t="s">
        <v>107</v>
      </c>
      <c r="Q12" s="23">
        <f>IFERROR(MATCH(tblRiskRegister[[#This Row],[Likelihood]],LikelihoodScale,0),"")</f>
        <v>2</v>
      </c>
      <c r="R12" s="22" t="s">
        <v>213</v>
      </c>
      <c r="S12" s="21" t="s">
        <v>109</v>
      </c>
      <c r="T12" s="23">
        <f>IFERROR(MATCH(tblRiskRegister[[#This Row],[Consequences]],ConsequenceScale,0),"")</f>
        <v>3</v>
      </c>
      <c r="U12" s="22" t="s">
        <v>214</v>
      </c>
      <c r="V12" s="23">
        <f>IFERROR(tblRiskRegister[[#This Row],[Asset Criticality / Rating]]*tblRiskRegister[[#This Row],[Likelihood Score]]*tblRiskRegister[[#This Row],[Consequence Score]],"")</f>
        <v>12</v>
      </c>
      <c r="W12" s="23" t="str">
        <f>IF(tblRiskRegister[[#This Row],[Risk Score]]="","",IF(tblRiskRegister[[#This Row],[Risk Score]]&gt;=HighThreshold,"HIGH",IF(tblRiskRegister[[#This Row],[Risk Score]]&gt;=MediumThreshold,"MEDIUM","LOW")))</f>
        <v>MEDIUM</v>
      </c>
      <c r="X12" s="20" t="s">
        <v>111</v>
      </c>
      <c r="Y12" s="22" t="s">
        <v>215</v>
      </c>
      <c r="Z12" s="22" t="s">
        <v>216</v>
      </c>
      <c r="AA12" s="21" t="s">
        <v>147</v>
      </c>
      <c r="AB12" s="24">
        <v>46199</v>
      </c>
      <c r="AC12" s="20" t="s">
        <v>114</v>
      </c>
      <c r="AD12" s="23">
        <f>IF(tblRiskRegister[[#This Row],[Asset Criticality / Rating]]="","",tblRiskRegister[[#This Row],[Asset Criticality / Rating]])</f>
        <v>2</v>
      </c>
      <c r="AE12" s="21" t="s">
        <v>115</v>
      </c>
      <c r="AF12" s="23">
        <f>IFERROR(MATCH(tblRiskRegister[[#This Row],[Post-Treatment Likelihood]],LikelihoodScale,0),"")</f>
        <v>1</v>
      </c>
      <c r="AG12" s="21" t="s">
        <v>116</v>
      </c>
      <c r="AH12" s="23">
        <f>IFERROR(MATCH(tblRiskRegister[[#This Row],[Post-Treatment Consequences]],ConsequenceScale,0),"")</f>
        <v>2</v>
      </c>
      <c r="AI12" s="23">
        <f>IFERROR(tblRiskRegister[[#This Row],[Post Treatment Asset Value]]*tblRiskRegister[[#This Row],[Post-Treatment Likelihood Score]]*tblRiskRegister[[#This Row],[Post-Treatment Consequences Score]],"")</f>
        <v>4</v>
      </c>
      <c r="AJ12" s="23" t="str">
        <f>IF(tblRiskRegister[[#This Row],[Post-Treatment Risk Score]]="","",IF(tblRiskRegister[[#This Row],[Post-Treatment Risk Score]]&gt;=HighThreshold,"HIGH",IF(tblRiskRegister[[#This Row],[Post-Treatment Risk Score]]&gt;=MediumThreshold,"MEDIUM","LOW")))</f>
        <v>LOW</v>
      </c>
      <c r="AK12" s="22" t="s">
        <v>217</v>
      </c>
      <c r="AL12" s="23">
        <f>IF(tblRiskRegister[[#This Row],[Post-Treatment Risk Score]]="","",IF(AND(OR(FilterCategory="All",FilterCategory=tblRiskRegister[[#This Row],[Asset Category]]),OR(FilterStatus="All",FilterStatus=tblRiskRegister[[#This Row],[Treatment Action Status]])),tblRiskRegister[[#This Row],[Post-Treatment Risk Score]]+ROW()/100000,""))</f>
        <v>4.0001199999999999</v>
      </c>
    </row>
  </sheetData>
  <mergeCells count="4">
    <mergeCell ref="A1:U1"/>
    <mergeCell ref="V1:AC1"/>
    <mergeCell ref="AD1:AJ1"/>
    <mergeCell ref="AK1:AL1"/>
  </mergeCells>
  <conditionalFormatting sqref="N3:N500">
    <cfRule type="expression" dxfId="34" priority="8">
      <formula>$N3="HIGH"</formula>
    </cfRule>
    <cfRule type="expression" dxfId="33" priority="9">
      <formula>$N3="MEDIUM"</formula>
    </cfRule>
    <cfRule type="expression" dxfId="32" priority="10">
      <formula>$N3="LOW"</formula>
    </cfRule>
  </conditionalFormatting>
  <conditionalFormatting sqref="W3:W500">
    <cfRule type="expression" dxfId="31" priority="2">
      <formula>$W3="HIGH"</formula>
    </cfRule>
    <cfRule type="expression" dxfId="30" priority="3">
      <formula>$W3="MEDIUM"</formula>
    </cfRule>
    <cfRule type="expression" dxfId="29" priority="4">
      <formula>$W3="LOW"</formula>
    </cfRule>
  </conditionalFormatting>
  <conditionalFormatting sqref="AJ3:AJ500">
    <cfRule type="expression" dxfId="28" priority="5">
      <formula>$AJ3="HIGH"</formula>
    </cfRule>
    <cfRule type="expression" dxfId="27" priority="6">
      <formula>$AJ3="MEDIUM"</formula>
    </cfRule>
    <cfRule type="expression" dxfId="26" priority="7">
      <formula>$AJ3="LOW"</formula>
    </cfRule>
  </conditionalFormatting>
  <conditionalFormatting sqref="AK3:AK500">
    <cfRule type="colorScale" priority="24">
      <colorScale>
        <cfvo type="num" val="0"/>
        <cfvo type="num" val="0.5"/>
        <cfvo type="num" val="1"/>
        <color rgb="FFC00000"/>
        <color rgb="FFFFC000"/>
        <color rgb="FF70AD47"/>
      </colorScale>
    </cfRule>
  </conditionalFormatting>
  <conditionalFormatting sqref="AL3:AL500">
    <cfRule type="expression" dxfId="25" priority="11">
      <formula>$AL3="P1 - Critical"</formula>
    </cfRule>
    <cfRule type="expression" dxfId="24" priority="12">
      <formula>$AL3="P2 - High"</formula>
    </cfRule>
    <cfRule type="expression" dxfId="23" priority="13">
      <formula>$AL3="P3 - Monitor"</formula>
    </cfRule>
    <cfRule type="expression" dxfId="22" priority="14">
      <formula>$AL3="P4 - Accepted"</formula>
    </cfRule>
  </conditionalFormatting>
  <conditionalFormatting sqref="AM3:AM500">
    <cfRule type="expression" dxfId="21" priority="15">
      <formula>$AM3="Overdue"</formula>
    </cfRule>
    <cfRule type="expression" dxfId="20" priority="16">
      <formula>$AM3="No Due Date"</formula>
    </cfRule>
    <cfRule type="expression" dxfId="19" priority="17">
      <formula>$AM3="On Track"</formula>
    </cfRule>
    <cfRule type="expression" dxfId="18" priority="18">
      <formula>$AM3="Closed"</formula>
    </cfRule>
  </conditionalFormatting>
  <conditionalFormatting sqref="AN3:AN500">
    <cfRule type="expression" dxfId="17" priority="25">
      <formula>AND($AN3&lt;&gt;"",$AN3&lt;TODAY())</formula>
    </cfRule>
  </conditionalFormatting>
  <conditionalFormatting sqref="AO3:AO500">
    <cfRule type="expression" dxfId="16" priority="19">
      <formula>$AO3="Review Overdue"</formula>
    </cfRule>
    <cfRule type="expression" dxfId="15" priority="20">
      <formula>$AO3="Due Soon"</formula>
    </cfRule>
    <cfRule type="expression" dxfId="14" priority="21">
      <formula>$AO3="Scheduled"</formula>
    </cfRule>
    <cfRule type="expression" dxfId="13" priority="22">
      <formula>$AO3="Not Yet Due"</formula>
    </cfRule>
    <cfRule type="expression" dxfId="12" priority="23">
      <formula>$AO3="No Review Date"</formula>
    </cfRule>
  </conditionalFormatting>
  <dataValidations count="10">
    <dataValidation type="list" showInputMessage="1" showErrorMessage="1" errorTitle="Value not on the governed list" error="Choose from the dropdown, or add the value on the Lookup Lists sheet first." promptTitle="Asset Category" prompt="Pick from the governed category list." sqref="B3:B500" xr:uid="{00000000-0002-0000-0100-000000000000}">
      <formula1>AssetCategoryList</formula1>
      <formula2>0</formula2>
    </dataValidation>
    <dataValidation type="list" showInputMessage="1" showErrorMessage="1" errorTitle="Value not on the governed list" error="Choose from the dropdown, or add the value on the Lookup Lists sheet first." promptTitle="Likelihood" prompt="Ordered scale: position = score." sqref="P3:P500" xr:uid="{00000000-0002-0000-0100-000001000000}">
      <formula1>LikelihoodScale</formula1>
      <formula2>0</formula2>
    </dataValidation>
    <dataValidation type="list" showInputMessage="1" showErrorMessage="1" errorTitle="Value not on the governed list" error="Choose from the dropdown, or add the value on the Lookup Lists sheet first." promptTitle="Post-Treatment Likelihood" prompt="Ordered scale: position = score." sqref="AE3:AE500" xr:uid="{00000000-0002-0000-0100-000002000000}">
      <formula1>LikelihoodScale</formula1>
      <formula2>0</formula2>
    </dataValidation>
    <dataValidation type="list" showInputMessage="1" showErrorMessage="1" errorTitle="Value not on the governed list" error="Choose from the dropdown, or add the value on the Lookup Lists sheet first." promptTitle="Consequences" prompt="Ordered scale: position = score." sqref="S3:S500" xr:uid="{00000000-0002-0000-0100-000003000000}">
      <formula1>ConsequenceScale</formula1>
      <formula2>0</formula2>
    </dataValidation>
    <dataValidation type="list" showInputMessage="1" showErrorMessage="1" errorTitle="Value not on the governed list" error="Choose from the dropdown, or add the value on the Lookup Lists sheet first." promptTitle="Post-Treatment Consequences" prompt="Ordered scale: position = score." sqref="AG3:AG500" xr:uid="{00000000-0002-0000-0100-000004000000}">
      <formula1>ConsequenceScale</formula1>
      <formula2>0</formula2>
    </dataValidation>
    <dataValidation type="list" showInputMessage="1" showErrorMessage="1" errorTitle="Value not on the governed list" error="Choose from the dropdown, or add the value on the Lookup Lists sheet first." promptTitle="Treatment Option Chosen" prompt="ISO 27001 Cl. 6.1.3 treatment option." sqref="X3:X500" xr:uid="{00000000-0002-0000-0100-000005000000}">
      <formula1>TreatmentOptionList</formula1>
      <formula2>0</formula2>
    </dataValidation>
    <dataValidation type="list" showInputMessage="1" showErrorMessage="1" errorTitle="Value not on the governed list" error="Choose from the dropdown, or add the value on the Lookup Lists sheet first." promptTitle="Treatment Action Status" prompt="Pending / Open / Close." sqref="AC3:AC500" xr:uid="{00000000-0002-0000-0100-000006000000}">
      <formula1>StatusList</formula1>
      <formula2>0</formula2>
    </dataValidation>
    <dataValidation type="list" showInputMessage="1" showErrorMessage="1" errorTitle="Value not on the governed list" error="Choose from the dropdown, or add the value on the Lookup Lists sheet first." promptTitle="Risk Owner" prompt="One accountable owner only." sqref="O3:O500" xr:uid="{00000000-0002-0000-0100-000007000000}">
      <formula1>OwnerList</formula1>
      <formula2>0</formula2>
    </dataValidation>
    <dataValidation type="list" showInputMessage="1" showErrorMessage="1" errorTitle="Value not on the governed list" error="Choose from the dropdown, or add the value on the Lookup Lists sheet first." promptTitle="Treatment Action Owner" prompt="One accountable owner only." sqref="AA3:AA500" xr:uid="{00000000-0002-0000-0100-000008000000}">
      <formula1>OwnerList</formula1>
      <formula2>0</formula2>
    </dataValidation>
    <dataValidation type="date" operator="greaterThan" showErrorMessage="1" errorTitle="Enter a real date" error="Type a date (dd-mm-yyyy). Text dates break the overdue logic." sqref="AB3:AB500" xr:uid="{00000000-0002-0000-0100-000009000000}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H24"/>
  <sheetViews>
    <sheetView showGridLines="0" showRowColHeaders="0" topLeftCell="A5" zoomScaleNormal="100" workbookViewId="0">
      <selection activeCell="B7" sqref="B7"/>
    </sheetView>
  </sheetViews>
  <sheetFormatPr defaultColWidth="8.7265625" defaultRowHeight="14.5" x14ac:dyDescent="0.35"/>
  <cols>
    <col min="1" max="1" width="30" customWidth="1"/>
    <col min="2" max="5" width="17" customWidth="1"/>
    <col min="6" max="6" width="3" customWidth="1"/>
    <col min="7" max="7" width="32" customWidth="1"/>
    <col min="8" max="8" width="15" customWidth="1"/>
  </cols>
  <sheetData>
    <row r="1" spans="1:8" ht="19.5" customHeight="1" x14ac:dyDescent="0.5">
      <c r="A1" s="27" t="s">
        <v>218</v>
      </c>
    </row>
    <row r="2" spans="1:8" ht="15" customHeight="1" x14ac:dyDescent="0.35">
      <c r="A2" s="28" t="s">
        <v>219</v>
      </c>
    </row>
    <row r="3" spans="1:8" ht="15" customHeight="1" x14ac:dyDescent="0.35">
      <c r="A3" s="28" t="s">
        <v>220</v>
      </c>
    </row>
    <row r="5" spans="1:8" ht="15" customHeight="1" x14ac:dyDescent="0.35">
      <c r="A5" s="29" t="s">
        <v>221</v>
      </c>
    </row>
    <row r="6" spans="1:8" ht="15" customHeight="1" x14ac:dyDescent="0.35">
      <c r="A6" s="16" t="s">
        <v>222</v>
      </c>
      <c r="B6" s="30" t="str">
        <f>IF(FilterCategory="All","&lt;&gt;",FilterCategory)</f>
        <v>&lt;&gt;</v>
      </c>
    </row>
    <row r="7" spans="1:8" ht="15" customHeight="1" x14ac:dyDescent="0.35">
      <c r="A7" s="16" t="s">
        <v>223</v>
      </c>
      <c r="B7" s="30" t="str">
        <f>IF(FilterStatus="All","&lt;&gt;",FilterStatus)</f>
        <v>&lt;&gt;</v>
      </c>
    </row>
    <row r="9" spans="1:8" ht="15" customHeight="1" x14ac:dyDescent="0.35">
      <c r="A9" s="29" t="s">
        <v>224</v>
      </c>
      <c r="G9" s="29" t="s">
        <v>225</v>
      </c>
    </row>
    <row r="10" spans="1:8" ht="15" customHeight="1" x14ac:dyDescent="0.35">
      <c r="A10" s="31" t="s">
        <v>62</v>
      </c>
      <c r="B10" s="19" t="s">
        <v>226</v>
      </c>
      <c r="C10" s="19" t="s">
        <v>227</v>
      </c>
      <c r="G10" s="31" t="s">
        <v>228</v>
      </c>
      <c r="H10" s="19" t="s">
        <v>229</v>
      </c>
    </row>
    <row r="11" spans="1:8" ht="15" customHeight="1" x14ac:dyDescent="0.35">
      <c r="A11" s="32" t="str">
        <f>'Lookup Lists'!$A$7</f>
        <v>Miscellaneous</v>
      </c>
      <c r="B11" s="33">
        <f>IF(OR(FilterCategory="All",FilterCategory=$A11),SUMIFS(tblRiskRegister[Risk Score],tblRiskRegister[Asset Category],$A11,tblRiskRegister[Treatment Action Status],CritStatus),0)</f>
        <v>8</v>
      </c>
      <c r="C11" s="33">
        <f>IF(OR(FilterCategory="All",FilterCategory=$A11),SUMIFS(tblRiskRegister[Post-Treatment Risk Score],tblRiskRegister[Asset Category],$A11,tblRiskRegister[Treatment Action Status],CritStatus),0)</f>
        <v>2</v>
      </c>
      <c r="G11" s="32" t="str">
        <f>IFERROR(INDEX(tblRiskRegister[Asset],MATCH(LARGE(tblRiskRegister[Dash Rank],5),tblRiskRegister[Dash Rank],0)),"")</f>
        <v>ISMS &amp; QMS Documentation</v>
      </c>
      <c r="H11" s="33">
        <f>IFERROR(ROUND(LARGE(tblRiskRegister[Dash Rank],5),0),0)</f>
        <v>4</v>
      </c>
    </row>
    <row r="12" spans="1:8" ht="15" customHeight="1" x14ac:dyDescent="0.35">
      <c r="A12" s="32" t="str">
        <f>'Lookup Lists'!$A$6</f>
        <v>Peripherals (Devices)</v>
      </c>
      <c r="B12" s="33">
        <f>IF(OR(FilterCategory="All",FilterCategory=$A12),SUMIFS(tblRiskRegister[Risk Score],tblRiskRegister[Asset Category],$A12,tblRiskRegister[Treatment Action Status],CritStatus),0)</f>
        <v>0</v>
      </c>
      <c r="C12" s="33">
        <f>IF(OR(FilterCategory="All",FilterCategory=$A12),SUMIFS(tblRiskRegister[Post-Treatment Risk Score],tblRiskRegister[Asset Category],$A12,tblRiskRegister[Treatment Action Status],CritStatus),0)</f>
        <v>0</v>
      </c>
      <c r="G12" s="32" t="str">
        <f>IFERROR(INDEX(tblRiskRegister[Asset],MATCH(LARGE(tblRiskRegister[Dash Rank],4),tblRiskRegister[Dash Rank],0)),"")</f>
        <v>Endpoint Devices &amp; Logs</v>
      </c>
      <c r="H12" s="33">
        <f>IFERROR(ROUND(LARGE(tblRiskRegister[Dash Rank],4),0),0)</f>
        <v>4</v>
      </c>
    </row>
    <row r="13" spans="1:8" ht="15" customHeight="1" x14ac:dyDescent="0.35">
      <c r="A13" s="32" t="str">
        <f>'Lookup Lists'!$A$5</f>
        <v>Software and Application</v>
      </c>
      <c r="B13" s="33">
        <f>IF(OR(FilterCategory="All",FilterCategory=$A13),SUMIFS(tblRiskRegister[Risk Score],tblRiskRegister[Asset Category],$A13,tblRiskRegister[Treatment Action Status],CritStatus),0)</f>
        <v>18</v>
      </c>
      <c r="C13" s="33">
        <f>IF(OR(FilterCategory="All",FilterCategory=$A13),SUMIFS(tblRiskRegister[Post-Treatment Risk Score],tblRiskRegister[Asset Category],$A13,tblRiskRegister[Treatment Action Status],CritStatus),0)</f>
        <v>6</v>
      </c>
      <c r="G13" s="32" t="str">
        <f>IFERROR(INDEX(tblRiskRegister[Asset],MATCH(LARGE(tblRiskRegister[Dash Rank],3),tblRiskRegister[Dash Rank],0)),"")</f>
        <v>DataNext Application Source Code</v>
      </c>
      <c r="H13" s="33">
        <f>IFERROR(ROUND(LARGE(tblRiskRegister[Dash Rank],3),0),0)</f>
        <v>6</v>
      </c>
    </row>
    <row r="14" spans="1:8" ht="15" customHeight="1" x14ac:dyDescent="0.35">
      <c r="A14" s="32" t="str">
        <f>'Lookup Lists'!$A$4</f>
        <v>HR</v>
      </c>
      <c r="B14" s="33">
        <f>IF(OR(FilterCategory="All",FilterCategory=$A14),SUMIFS(tblRiskRegister[Risk Score],tblRiskRegister[Asset Category],$A14,tblRiskRegister[Treatment Action Status],CritStatus),0)</f>
        <v>24</v>
      </c>
      <c r="C14" s="33">
        <f>IF(OR(FilterCategory="All",FilterCategory=$A14),SUMIFS(tblRiskRegister[Post-Treatment Risk Score],tblRiskRegister[Asset Category],$A14,tblRiskRegister[Treatment Action Status],CritStatus),0)</f>
        <v>8</v>
      </c>
      <c r="G14" s="32" t="str">
        <f>IFERROR(INDEX(tblRiskRegister[Asset],MATCH(LARGE(tblRiskRegister[Dash Rank],2),tblRiskRegister[Dash Rank],0)),"")</f>
        <v>Network Servers</v>
      </c>
      <c r="H14" s="33">
        <f>IFERROR(ROUND(LARGE(tblRiskRegister[Dash Rank],2),0),0)</f>
        <v>6</v>
      </c>
    </row>
    <row r="15" spans="1:8" ht="15" customHeight="1" x14ac:dyDescent="0.35">
      <c r="A15" s="32" t="str">
        <f>'Lookup Lists'!$A$3</f>
        <v>Infrastructure</v>
      </c>
      <c r="B15" s="33">
        <f>IF(OR(FilterCategory="All",FilterCategory=$A15),SUMIFS(tblRiskRegister[Risk Score],tblRiskRegister[Asset Category],$A15,tblRiskRegister[Treatment Action Status],CritStatus),0)</f>
        <v>48</v>
      </c>
      <c r="C15" s="33">
        <f>IF(OR(FilterCategory="All",FilterCategory=$A15),SUMIFS(tblRiskRegister[Post-Treatment Risk Score],tblRiskRegister[Asset Category],$A15,tblRiskRegister[Treatment Action Status],CritStatus),0)</f>
        <v>16</v>
      </c>
      <c r="G15" s="32" t="str">
        <f>IFERROR(INDEX(tblRiskRegister[Asset],MATCH(LARGE(tblRiskRegister[Dash Rank],1),tblRiskRegister[Dash Rank],0)),"")</f>
        <v>Data Backups</v>
      </c>
      <c r="H15" s="33">
        <f>IFERROR(ROUND(LARGE(tblRiskRegister[Dash Rank],1),0),0)</f>
        <v>6</v>
      </c>
    </row>
    <row r="16" spans="1:8" ht="15" customHeight="1" x14ac:dyDescent="0.35">
      <c r="A16" s="32" t="str">
        <f>'Lookup Lists'!$A$2</f>
        <v>Documentation (GRC)</v>
      </c>
      <c r="B16" s="33">
        <f>IF(OR(FilterCategory="All",FilterCategory=$A16),SUMIFS(tblRiskRegister[Risk Score],tblRiskRegister[Asset Category],$A16,tblRiskRegister[Treatment Action Status],CritStatus),0)</f>
        <v>36</v>
      </c>
      <c r="C16" s="33">
        <f>IF(OR(FilterCategory="All",FilterCategory=$A16),SUMIFS(tblRiskRegister[Post-Treatment Risk Score],tblRiskRegister[Asset Category],$A16,tblRiskRegister[Treatment Action Status],CritStatus),0)</f>
        <v>12</v>
      </c>
    </row>
    <row r="17" spans="1:7" ht="15" customHeight="1" x14ac:dyDescent="0.35">
      <c r="G17" s="28" t="s">
        <v>230</v>
      </c>
    </row>
    <row r="18" spans="1:7" ht="15" customHeight="1" x14ac:dyDescent="0.35">
      <c r="A18" s="29" t="s">
        <v>231</v>
      </c>
    </row>
    <row r="19" spans="1:7" ht="15" customHeight="1" x14ac:dyDescent="0.35">
      <c r="A19" s="31" t="s">
        <v>232</v>
      </c>
      <c r="B19" s="19" t="s">
        <v>56</v>
      </c>
      <c r="C19" s="19" t="s">
        <v>233</v>
      </c>
      <c r="D19" s="19" t="s">
        <v>114</v>
      </c>
      <c r="E19" s="19"/>
    </row>
    <row r="20" spans="1:7" ht="15" customHeight="1" x14ac:dyDescent="0.35">
      <c r="A20" s="32" t="str">
        <f>'Lookup Lists'!$K$6</f>
        <v>Operations Team</v>
      </c>
      <c r="B20" s="33">
        <f>COUNTIFS(tblRiskRegister[Treatment Action Owner],$A20,tblRiskRegister[Treatment Action Status],B$19,tblRiskRegister[Asset Category],CritCat,tblRiskRegister[Treatment Action Status],CritStatus)</f>
        <v>0</v>
      </c>
      <c r="C20" s="33">
        <f>COUNTIFS(tblRiskRegister[Treatment Action Owner],$A20,tblRiskRegister[Treatment Action Status],C$19,tblRiskRegister[Asset Category],CritCat,tblRiskRegister[Treatment Action Status],CritStatus)</f>
        <v>0</v>
      </c>
      <c r="D20" s="33">
        <f>COUNTIFS(tblRiskRegister[Treatment Action Owner],$A20,tblRiskRegister[Treatment Action Status],D$19,tblRiskRegister[Asset Category],CritCat,tblRiskRegister[Treatment Action Status],CritStatus)</f>
        <v>1</v>
      </c>
      <c r="E20" s="33"/>
    </row>
    <row r="21" spans="1:7" ht="15" customHeight="1" x14ac:dyDescent="0.35">
      <c r="A21" s="32" t="str">
        <f>'Lookup Lists'!$K$5</f>
        <v>IT Head</v>
      </c>
      <c r="B21" s="33">
        <f>COUNTIFS(tblRiskRegister[Treatment Action Owner],$A21,tblRiskRegister[Treatment Action Status],B$19,tblRiskRegister[Asset Category],CritCat,tblRiskRegister[Treatment Action Status],CritStatus)</f>
        <v>0</v>
      </c>
      <c r="C21" s="33">
        <f>COUNTIFS(tblRiskRegister[Treatment Action Owner],$A21,tblRiskRegister[Treatment Action Status],C$19,tblRiskRegister[Asset Category],CritCat,tblRiskRegister[Treatment Action Status],CritStatus)</f>
        <v>0</v>
      </c>
      <c r="D21" s="33">
        <f>COUNTIFS(tblRiskRegister[Treatment Action Owner],$A21,tblRiskRegister[Treatment Action Status],D$19,tblRiskRegister[Asset Category],CritCat,tblRiskRegister[Treatment Action Status],CritStatus)</f>
        <v>4</v>
      </c>
      <c r="E21" s="33"/>
    </row>
    <row r="22" spans="1:7" ht="15" customHeight="1" x14ac:dyDescent="0.35">
      <c r="A22" s="32" t="str">
        <f>'Lookup Lists'!$K$4</f>
        <v>HR Manager</v>
      </c>
      <c r="B22" s="33">
        <f>COUNTIFS(tblRiskRegister[Treatment Action Owner],$A22,tblRiskRegister[Treatment Action Status],B$19,tblRiskRegister[Asset Category],CritCat,tblRiskRegister[Treatment Action Status],CritStatus)</f>
        <v>0</v>
      </c>
      <c r="C22" s="33">
        <f>COUNTIFS(tblRiskRegister[Treatment Action Owner],$A22,tblRiskRegister[Treatment Action Status],C$19,tblRiskRegister[Asset Category],CritCat,tblRiskRegister[Treatment Action Status],CritStatus)</f>
        <v>0</v>
      </c>
      <c r="D22" s="33">
        <f>COUNTIFS(tblRiskRegister[Treatment Action Owner],$A22,tblRiskRegister[Treatment Action Status],D$19,tblRiskRegister[Asset Category],CritCat,tblRiskRegister[Treatment Action Status],CritStatus)</f>
        <v>3</v>
      </c>
      <c r="E22" s="33"/>
    </row>
    <row r="23" spans="1:7" ht="15" customHeight="1" x14ac:dyDescent="0.35">
      <c r="A23" s="32" t="str">
        <f>'Lookup Lists'!$K$3</f>
        <v>Development Lead</v>
      </c>
      <c r="B23" s="33">
        <f>COUNTIFS(tblRiskRegister[Treatment Action Owner],$A23,tblRiskRegister[Treatment Action Status],B$19,tblRiskRegister[Asset Category],CritCat,tblRiskRegister[Treatment Action Status],CritStatus)</f>
        <v>0</v>
      </c>
      <c r="C23" s="33">
        <f>COUNTIFS(tblRiskRegister[Treatment Action Owner],$A23,tblRiskRegister[Treatment Action Status],C$19,tblRiskRegister[Asset Category],CritCat,tblRiskRegister[Treatment Action Status],CritStatus)</f>
        <v>0</v>
      </c>
      <c r="D23" s="33">
        <f>COUNTIFS(tblRiskRegister[Treatment Action Owner],$A23,tblRiskRegister[Treatment Action Status],D$19,tblRiskRegister[Asset Category],CritCat,tblRiskRegister[Treatment Action Status],CritStatus)</f>
        <v>1</v>
      </c>
      <c r="E23" s="33"/>
    </row>
    <row r="24" spans="1:7" ht="15" customHeight="1" x14ac:dyDescent="0.35">
      <c r="A24" s="32" t="str">
        <f>'Lookup Lists'!$K$2</f>
        <v>Compliance Consultant</v>
      </c>
      <c r="B24" s="33">
        <f>COUNTIFS(tblRiskRegister[Treatment Action Owner],$A24,tblRiskRegister[Treatment Action Status],B$19,tblRiskRegister[Asset Category],CritCat,tblRiskRegister[Treatment Action Status],CritStatus)</f>
        <v>0</v>
      </c>
      <c r="C24" s="33">
        <f>COUNTIFS(tblRiskRegister[Treatment Action Owner],$A24,tblRiskRegister[Treatment Action Status],C$19,tblRiskRegister[Asset Category],CritCat,tblRiskRegister[Treatment Action Status],CritStatus)</f>
        <v>0</v>
      </c>
      <c r="D24" s="33">
        <f>COUNTIFS(tblRiskRegister[Treatment Action Owner],$A24,tblRiskRegister[Treatment Action Status],D$19,tblRiskRegister[Asset Category],CritCat,tblRiskRegister[Treatment Action Status],CritStatus)</f>
        <v>1</v>
      </c>
      <c r="E24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1:BM60"/>
  <sheetViews>
    <sheetView showGridLines="0" showRowColHeaders="0" tabSelected="1" zoomScale="56" zoomScaleNormal="90" workbookViewId="0">
      <selection activeCell="D15" sqref="D15:Q15"/>
    </sheetView>
  </sheetViews>
  <sheetFormatPr defaultColWidth="8.7265625" defaultRowHeight="14.5" x14ac:dyDescent="0.35"/>
  <cols>
    <col min="1" max="2" width="12" customWidth="1"/>
    <col min="3" max="3" width="3.54296875" customWidth="1"/>
    <col min="4" max="44" width="4.453125" customWidth="1"/>
    <col min="45" max="45" width="3.54296875" customWidth="1"/>
    <col min="46" max="58" width="4.453125" customWidth="1"/>
    <col min="59" max="59" width="3.54296875" customWidth="1"/>
  </cols>
  <sheetData>
    <row r="1" spans="1:65" ht="15" customHeight="1" x14ac:dyDescent="0.3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5" ht="15" customHeight="1" x14ac:dyDescent="0.35">
      <c r="A2" s="34"/>
      <c r="B2" s="35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6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</row>
    <row r="3" spans="1:65" ht="15" customHeight="1" x14ac:dyDescent="0.3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</row>
    <row r="4" spans="1:65" ht="15" customHeight="1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7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</row>
    <row r="5" spans="1:65" ht="15" customHeight="1" x14ac:dyDescent="0.35">
      <c r="A5" s="34"/>
      <c r="B5" s="38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</row>
    <row r="6" spans="1:65" ht="6" customHeight="1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</row>
    <row r="7" spans="1:65" ht="15" customHeight="1" x14ac:dyDescent="0.35">
      <c r="A7" s="34"/>
      <c r="B7" s="34"/>
      <c r="C7" s="34"/>
      <c r="D7" s="2" t="s">
        <v>234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4"/>
      <c r="AB7" s="34"/>
      <c r="AC7" s="34"/>
      <c r="AD7" s="34"/>
      <c r="AE7" s="34"/>
      <c r="AF7" s="1" t="str">
        <f ca="1">"Last Updated:   "&amp;TEXT(NOW(),"dd mmm yyyy   hh:mm")</f>
        <v>Last Updated:   14 Aug 2026   01:20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</row>
    <row r="8" spans="1:65" ht="15" customHeight="1" x14ac:dyDescent="0.35">
      <c r="A8" s="34"/>
      <c r="B8" s="34"/>
      <c r="C8" s="3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4"/>
      <c r="AB8" s="34"/>
      <c r="AC8" s="34"/>
      <c r="AD8" s="34"/>
      <c r="AE8" s="34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</row>
    <row r="9" spans="1:65" ht="15" customHeight="1" x14ac:dyDescent="0.35">
      <c r="A9" s="34"/>
      <c r="B9" s="39"/>
      <c r="C9" s="3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4"/>
      <c r="AB9" s="34"/>
      <c r="AC9" s="34"/>
      <c r="AD9" s="34"/>
      <c r="AE9" s="34"/>
      <c r="AF9" s="54" t="s">
        <v>235</v>
      </c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</row>
    <row r="10" spans="1:65" ht="15.75" customHeight="1" x14ac:dyDescent="0.35">
      <c r="A10" s="34"/>
      <c r="B10" s="40"/>
      <c r="C10" s="34"/>
      <c r="D10" s="55" t="s">
        <v>236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34"/>
      <c r="AB10" s="34"/>
      <c r="AC10" s="34"/>
      <c r="AD10" s="34"/>
      <c r="AE10" s="3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</row>
    <row r="11" spans="1:65" ht="7.5" customHeight="1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</row>
    <row r="12" spans="1:65" ht="3.75" customHeight="1" x14ac:dyDescent="0.35">
      <c r="A12" s="34"/>
      <c r="B12" s="41"/>
      <c r="C12" s="34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</row>
    <row r="13" spans="1:65" ht="9.75" customHeight="1" x14ac:dyDescent="0.35">
      <c r="A13" s="34"/>
      <c r="B13" s="4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</row>
    <row r="14" spans="1:65" ht="12.75" customHeight="1" x14ac:dyDescent="0.35">
      <c r="A14" s="34"/>
      <c r="B14" s="34"/>
      <c r="C14" s="34"/>
      <c r="D14" s="56" t="s">
        <v>237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34"/>
      <c r="S14" s="56" t="s">
        <v>238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</row>
    <row r="15" spans="1:65" ht="19.5" customHeight="1" x14ac:dyDescent="0.35">
      <c r="A15" s="34"/>
      <c r="B15" s="34"/>
      <c r="C15" s="34"/>
      <c r="D15" s="57" t="s">
        <v>239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34"/>
      <c r="S15" s="57" t="s">
        <v>239</v>
      </c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34"/>
      <c r="AF15" s="54" t="s">
        <v>240</v>
      </c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</row>
    <row r="16" spans="1:65" ht="12" customHeight="1" x14ac:dyDescent="0.3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</row>
    <row r="17" spans="1:65" ht="13.5" customHeight="1" x14ac:dyDescent="0.35">
      <c r="A17" s="34"/>
      <c r="B17" s="34"/>
      <c r="C17" s="34"/>
      <c r="D17" s="58" t="s">
        <v>241</v>
      </c>
      <c r="E17" s="58"/>
      <c r="F17" s="58"/>
      <c r="G17" s="58"/>
      <c r="H17" s="58"/>
      <c r="I17" s="58"/>
      <c r="J17" s="34"/>
      <c r="K17" s="59" t="s">
        <v>242</v>
      </c>
      <c r="L17" s="59"/>
      <c r="M17" s="59"/>
      <c r="N17" s="59"/>
      <c r="O17" s="59"/>
      <c r="P17" s="59"/>
      <c r="Q17" s="34"/>
      <c r="R17" s="58" t="s">
        <v>243</v>
      </c>
      <c r="S17" s="58"/>
      <c r="T17" s="58"/>
      <c r="U17" s="58"/>
      <c r="V17" s="58"/>
      <c r="W17" s="58"/>
      <c r="X17" s="34"/>
      <c r="Y17" s="58" t="s">
        <v>244</v>
      </c>
      <c r="Z17" s="58"/>
      <c r="AA17" s="58"/>
      <c r="AB17" s="58"/>
      <c r="AC17" s="58"/>
      <c r="AD17" s="58"/>
      <c r="AE17" s="34"/>
      <c r="AF17" s="58" t="s">
        <v>245</v>
      </c>
      <c r="AG17" s="58"/>
      <c r="AH17" s="58"/>
      <c r="AI17" s="58"/>
      <c r="AJ17" s="58"/>
      <c r="AK17" s="58"/>
      <c r="AL17" s="34"/>
      <c r="AM17" s="58" t="s">
        <v>246</v>
      </c>
      <c r="AN17" s="58"/>
      <c r="AO17" s="58"/>
      <c r="AP17" s="58"/>
      <c r="AQ17" s="58"/>
      <c r="AR17" s="58"/>
      <c r="AS17" s="34"/>
      <c r="AT17" s="59" t="s">
        <v>247</v>
      </c>
      <c r="AU17" s="59"/>
      <c r="AV17" s="59"/>
      <c r="AW17" s="59"/>
      <c r="AX17" s="59"/>
      <c r="AY17" s="59"/>
      <c r="AZ17" s="34"/>
      <c r="BA17" s="59" t="s">
        <v>248</v>
      </c>
      <c r="BB17" s="59"/>
      <c r="BC17" s="59"/>
      <c r="BD17" s="59"/>
      <c r="BE17" s="59"/>
      <c r="BF17" s="59"/>
      <c r="BG17" s="34"/>
      <c r="BH17" s="34"/>
      <c r="BI17" s="34"/>
      <c r="BJ17" s="34"/>
      <c r="BK17" s="34"/>
      <c r="BL17" s="34"/>
      <c r="BM17" s="34"/>
    </row>
    <row r="18" spans="1:65" ht="15" customHeight="1" x14ac:dyDescent="0.35">
      <c r="A18" s="34"/>
      <c r="B18" s="34"/>
      <c r="C18" s="34"/>
      <c r="D18" s="60">
        <f>COUNTIFS(tblRiskRegister[Asset Category],CritCat,tblRiskRegister[Treatment Action Status],CritStatus)</f>
        <v>10</v>
      </c>
      <c r="E18" s="60"/>
      <c r="F18" s="60"/>
      <c r="G18" s="60"/>
      <c r="H18" s="60"/>
      <c r="I18" s="60"/>
      <c r="J18" s="34"/>
      <c r="K18" s="60">
        <f>COUNTIFS(tblRiskRegister[Asset Category],CritCat,tblRiskRegister[Treatment Action Status],CritStatus,tblRiskRegister[Post-Treatment Risk Level],"HIGH")</f>
        <v>0</v>
      </c>
      <c r="L18" s="60"/>
      <c r="M18" s="60"/>
      <c r="N18" s="60"/>
      <c r="O18" s="60"/>
      <c r="P18" s="60"/>
      <c r="Q18" s="34"/>
      <c r="R18" s="61">
        <f>IFERROR(1-SUMIFS(tblRiskRegister[Post-Treatment Risk Score],tblRiskRegister[Asset Category],CritCat,tblRiskRegister[Treatment Action Status],CritStatus)/SUMIFS(tblRiskRegister[Risk Score],tblRiskRegister[Asset Category],CritCat,tblRiskRegister[Treatment Action Status],CritStatus),0)</f>
        <v>0.67164179104477606</v>
      </c>
      <c r="S18" s="61"/>
      <c r="T18" s="61"/>
      <c r="U18" s="61"/>
      <c r="V18" s="61"/>
      <c r="W18" s="61"/>
      <c r="X18" s="34"/>
      <c r="Y18" s="60">
        <f>COUNTIFS(tblRiskRegister[Asset Category],CritCat,tblRiskRegister[Treatment Action Status],CritStatus)-COUNTIFS(tblRiskRegister[Asset Category],CritCat,tblRiskRegister[Treatment Action Status],CritStatus,tblRiskRegister[Treatment Action Status],"Close")</f>
        <v>0</v>
      </c>
      <c r="Z18" s="60"/>
      <c r="AA18" s="60"/>
      <c r="AB18" s="60"/>
      <c r="AC18" s="60"/>
      <c r="AD18" s="60"/>
      <c r="AE18" s="34"/>
      <c r="AF18" s="60">
        <f ca="1">COUNTIFS(tblRiskRegister[Asset Category],CritCat,tblRiskRegister[Treatment Action Status],CritStatus,tblRiskRegister[Treatment Action Status],"&lt;&gt;Close",tblRiskRegister[Treatment Action Timescale],"&lt;"&amp;TODAY())</f>
        <v>0</v>
      </c>
      <c r="AG18" s="60"/>
      <c r="AH18" s="60"/>
      <c r="AI18" s="60"/>
      <c r="AJ18" s="60"/>
      <c r="AK18" s="60"/>
      <c r="AL18" s="34"/>
      <c r="AM18" s="60">
        <f>COUNTIFS(tblRiskRegister[Asset Category],CritCat,tblRiskRegister[Treatment Action Status],CritStatus,tblRiskRegister[Treatment Action Status],"Close")</f>
        <v>10</v>
      </c>
      <c r="AN18" s="60"/>
      <c r="AO18" s="60"/>
      <c r="AP18" s="60"/>
      <c r="AQ18" s="60"/>
      <c r="AR18" s="60"/>
      <c r="AS18" s="34"/>
      <c r="AT18" s="62">
        <f>COUNTIFS(tblRiskRegister[Asset Category],CritCat,tblRiskRegister[Treatment Action Status],CritStatus,tblRiskRegister[Post-Treatment Risk Level],"MEDIUM")</f>
        <v>0</v>
      </c>
      <c r="AU18" s="62"/>
      <c r="AV18" s="62"/>
      <c r="AW18" s="62"/>
      <c r="AX18" s="62"/>
      <c r="AY18" s="62"/>
      <c r="AZ18" s="34"/>
      <c r="BA18" s="60">
        <f>COUNTIFS(tblRiskRegister[Asset Category],CritCat,tblRiskRegister[Treatment Action Status],CritStatus,tblRiskRegister[Post-Treatment Risk Level],"LOW")</f>
        <v>10</v>
      </c>
      <c r="BB18" s="60"/>
      <c r="BC18" s="60"/>
      <c r="BD18" s="60"/>
      <c r="BE18" s="60"/>
      <c r="BF18" s="60"/>
      <c r="BG18" s="34"/>
      <c r="BH18" s="34"/>
      <c r="BI18" s="34"/>
      <c r="BJ18" s="34"/>
      <c r="BK18" s="34"/>
      <c r="BL18" s="34"/>
      <c r="BM18" s="34"/>
    </row>
    <row r="19" spans="1:65" ht="15" customHeight="1" x14ac:dyDescent="0.35">
      <c r="A19" s="34"/>
      <c r="B19" s="34"/>
      <c r="C19" s="34"/>
      <c r="D19" s="60"/>
      <c r="E19" s="60"/>
      <c r="F19" s="60"/>
      <c r="G19" s="60"/>
      <c r="H19" s="60"/>
      <c r="I19" s="60"/>
      <c r="J19" s="34"/>
      <c r="K19" s="60"/>
      <c r="L19" s="60"/>
      <c r="M19" s="60"/>
      <c r="N19" s="60"/>
      <c r="O19" s="60"/>
      <c r="P19" s="60"/>
      <c r="Q19" s="34"/>
      <c r="R19" s="61"/>
      <c r="S19" s="61"/>
      <c r="T19" s="61"/>
      <c r="U19" s="61"/>
      <c r="V19" s="61"/>
      <c r="W19" s="61"/>
      <c r="X19" s="34"/>
      <c r="Y19" s="60"/>
      <c r="Z19" s="60"/>
      <c r="AA19" s="60"/>
      <c r="AB19" s="60"/>
      <c r="AC19" s="60"/>
      <c r="AD19" s="60"/>
      <c r="AE19" s="34"/>
      <c r="AF19" s="60"/>
      <c r="AG19" s="60"/>
      <c r="AH19" s="60"/>
      <c r="AI19" s="60"/>
      <c r="AJ19" s="60"/>
      <c r="AK19" s="60"/>
      <c r="AL19" s="34"/>
      <c r="AM19" s="60"/>
      <c r="AN19" s="60"/>
      <c r="AO19" s="60"/>
      <c r="AP19" s="60"/>
      <c r="AQ19" s="60"/>
      <c r="AR19" s="60"/>
      <c r="AS19" s="34"/>
      <c r="AT19" s="62"/>
      <c r="AU19" s="62"/>
      <c r="AV19" s="62"/>
      <c r="AW19" s="62"/>
      <c r="AX19" s="62"/>
      <c r="AY19" s="62"/>
      <c r="AZ19" s="34"/>
      <c r="BA19" s="60"/>
      <c r="BB19" s="60"/>
      <c r="BC19" s="60"/>
      <c r="BD19" s="60"/>
      <c r="BE19" s="60"/>
      <c r="BF19" s="60"/>
      <c r="BG19" s="34"/>
      <c r="BH19" s="34"/>
      <c r="BI19" s="34"/>
      <c r="BJ19" s="34"/>
      <c r="BK19" s="34"/>
      <c r="BL19" s="34"/>
      <c r="BM19" s="34"/>
    </row>
    <row r="20" spans="1:65" ht="15" customHeight="1" x14ac:dyDescent="0.35">
      <c r="A20" s="34"/>
      <c r="B20" s="34"/>
      <c r="C20" s="34"/>
      <c r="D20" s="60"/>
      <c r="E20" s="60"/>
      <c r="F20" s="60"/>
      <c r="G20" s="60"/>
      <c r="H20" s="60"/>
      <c r="I20" s="60"/>
      <c r="J20" s="34"/>
      <c r="K20" s="60"/>
      <c r="L20" s="60"/>
      <c r="M20" s="60"/>
      <c r="N20" s="60"/>
      <c r="O20" s="60"/>
      <c r="P20" s="60"/>
      <c r="Q20" s="34"/>
      <c r="R20" s="61"/>
      <c r="S20" s="61"/>
      <c r="T20" s="61"/>
      <c r="U20" s="61"/>
      <c r="V20" s="61"/>
      <c r="W20" s="61"/>
      <c r="X20" s="34"/>
      <c r="Y20" s="60"/>
      <c r="Z20" s="60"/>
      <c r="AA20" s="60"/>
      <c r="AB20" s="60"/>
      <c r="AC20" s="60"/>
      <c r="AD20" s="60"/>
      <c r="AE20" s="34"/>
      <c r="AF20" s="60"/>
      <c r="AG20" s="60"/>
      <c r="AH20" s="60"/>
      <c r="AI20" s="60"/>
      <c r="AJ20" s="60"/>
      <c r="AK20" s="60"/>
      <c r="AL20" s="34"/>
      <c r="AM20" s="60"/>
      <c r="AN20" s="60"/>
      <c r="AO20" s="60"/>
      <c r="AP20" s="60"/>
      <c r="AQ20" s="60"/>
      <c r="AR20" s="60"/>
      <c r="AS20" s="34"/>
      <c r="AT20" s="62"/>
      <c r="AU20" s="62"/>
      <c r="AV20" s="62"/>
      <c r="AW20" s="62"/>
      <c r="AX20" s="62"/>
      <c r="AY20" s="62"/>
      <c r="AZ20" s="34"/>
      <c r="BA20" s="60"/>
      <c r="BB20" s="60"/>
      <c r="BC20" s="60"/>
      <c r="BD20" s="60"/>
      <c r="BE20" s="60"/>
      <c r="BF20" s="60"/>
      <c r="BG20" s="34"/>
      <c r="BH20" s="34"/>
      <c r="BI20" s="34"/>
      <c r="BJ20" s="34"/>
      <c r="BK20" s="34"/>
      <c r="BL20" s="34"/>
      <c r="BM20" s="34"/>
    </row>
    <row r="21" spans="1:65" ht="3.75" customHeight="1" x14ac:dyDescent="0.35">
      <c r="A21" s="34"/>
      <c r="B21" s="34"/>
      <c r="C21" s="34"/>
      <c r="D21" s="42"/>
      <c r="E21" s="42"/>
      <c r="F21" s="42"/>
      <c r="G21" s="42"/>
      <c r="H21" s="42"/>
      <c r="I21" s="42"/>
      <c r="J21" s="34"/>
      <c r="K21" s="44"/>
      <c r="L21" s="44"/>
      <c r="M21" s="44"/>
      <c r="N21" s="44"/>
      <c r="O21" s="44"/>
      <c r="P21" s="44"/>
      <c r="Q21" s="34"/>
      <c r="R21" s="45"/>
      <c r="S21" s="45"/>
      <c r="T21" s="45"/>
      <c r="U21" s="45"/>
      <c r="V21" s="45"/>
      <c r="W21" s="45"/>
      <c r="X21" s="34"/>
      <c r="Y21" s="42"/>
      <c r="Z21" s="42"/>
      <c r="AA21" s="42"/>
      <c r="AB21" s="42"/>
      <c r="AC21" s="42"/>
      <c r="AD21" s="42"/>
      <c r="AE21" s="34"/>
      <c r="AF21" s="44"/>
      <c r="AG21" s="44"/>
      <c r="AH21" s="44"/>
      <c r="AI21" s="44"/>
      <c r="AJ21" s="44"/>
      <c r="AK21" s="44"/>
      <c r="AL21" s="34"/>
      <c r="AM21" s="44"/>
      <c r="AN21" s="44"/>
      <c r="AO21" s="44"/>
      <c r="AP21" s="44"/>
      <c r="AQ21" s="44"/>
      <c r="AR21" s="44"/>
      <c r="AS21" s="34"/>
      <c r="AT21" s="46"/>
      <c r="AU21" s="46"/>
      <c r="AV21" s="46"/>
      <c r="AW21" s="46"/>
      <c r="AX21" s="46"/>
      <c r="AY21" s="46"/>
      <c r="AZ21" s="34"/>
      <c r="BA21" s="46"/>
      <c r="BB21" s="46"/>
      <c r="BC21" s="46"/>
      <c r="BD21" s="46"/>
      <c r="BE21" s="46"/>
      <c r="BF21" s="46"/>
      <c r="BG21" s="34"/>
      <c r="BH21" s="34"/>
      <c r="BI21" s="34"/>
      <c r="BJ21" s="34"/>
      <c r="BK21" s="34"/>
      <c r="BL21" s="34"/>
      <c r="BM21" s="34"/>
    </row>
    <row r="22" spans="1:65" ht="12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</row>
    <row r="23" spans="1:65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</row>
    <row r="24" spans="1:65" ht="15" customHeight="1" x14ac:dyDescent="0.3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</row>
    <row r="25" spans="1:65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</row>
    <row r="26" spans="1:65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</row>
    <row r="27" spans="1:65" ht="15" customHeight="1" x14ac:dyDescent="0.3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</row>
    <row r="28" spans="1:65" ht="15" customHeight="1" x14ac:dyDescent="0.3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</row>
    <row r="29" spans="1:65" ht="1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</row>
    <row r="30" spans="1:65" ht="15" customHeight="1" x14ac:dyDescent="0.3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</row>
    <row r="31" spans="1:65" ht="1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</row>
    <row r="32" spans="1:65" ht="1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</row>
    <row r="33" spans="1:65" ht="15" customHeight="1" x14ac:dyDescent="0.3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</row>
    <row r="34" spans="1:65" ht="1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</row>
    <row r="35" spans="1:65" ht="1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</row>
    <row r="36" spans="1:65" ht="15" customHeight="1" x14ac:dyDescent="0.3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</row>
    <row r="37" spans="1:65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</row>
    <row r="38" spans="1:65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</row>
    <row r="39" spans="1:65" ht="9.75" customHeight="1" x14ac:dyDescent="0.3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</row>
    <row r="40" spans="1:65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</row>
    <row r="41" spans="1:65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</row>
    <row r="42" spans="1:65" ht="15" customHeight="1" x14ac:dyDescent="0.3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</row>
    <row r="43" spans="1:65" ht="15" customHeight="1" x14ac:dyDescent="0.3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</row>
    <row r="44" spans="1:65" ht="15" customHeight="1" x14ac:dyDescent="0.3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</row>
    <row r="45" spans="1:65" ht="15" customHeight="1" x14ac:dyDescent="0.3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</row>
    <row r="46" spans="1:65" ht="15" customHeight="1" x14ac:dyDescent="0.3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</row>
    <row r="47" spans="1:65" ht="15" customHeight="1" x14ac:dyDescent="0.3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</row>
    <row r="48" spans="1:65" ht="15" customHeight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</row>
    <row r="49" spans="1:65" ht="15" customHeight="1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</row>
    <row r="50" spans="1:65" ht="15" customHeight="1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</row>
    <row r="51" spans="1:65" ht="15" customHeight="1" x14ac:dyDescent="0.35">
      <c r="A51" s="34"/>
      <c r="B51" s="4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</row>
    <row r="52" spans="1:65" ht="15" customHeight="1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</row>
    <row r="53" spans="1:65" ht="15" customHeight="1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</row>
    <row r="54" spans="1:65" ht="15" customHeight="1" x14ac:dyDescent="0.3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</row>
    <row r="55" spans="1:65" ht="9.75" customHeight="1" x14ac:dyDescent="0.35">
      <c r="A55" s="34"/>
      <c r="B55" s="34"/>
      <c r="C55" s="34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</row>
    <row r="56" spans="1:65" ht="15.75" customHeight="1" x14ac:dyDescent="0.35">
      <c r="A56" s="34"/>
      <c r="B56" s="34"/>
      <c r="C56" s="34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</row>
    <row r="57" spans="1:65" ht="15" customHeight="1" x14ac:dyDescent="0.3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</row>
    <row r="58" spans="1:65" ht="15" customHeight="1" x14ac:dyDescent="0.3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</row>
    <row r="59" spans="1:65" ht="15" customHeight="1" x14ac:dyDescent="0.3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</row>
    <row r="60" spans="1:65" ht="15" customHeight="1" x14ac:dyDescent="0.3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</row>
  </sheetData>
  <mergeCells count="26">
    <mergeCell ref="D56:AR56"/>
    <mergeCell ref="AT17:AY17"/>
    <mergeCell ref="BA17:BF17"/>
    <mergeCell ref="D18:I20"/>
    <mergeCell ref="K18:P20"/>
    <mergeCell ref="R18:W20"/>
    <mergeCell ref="Y18:AD20"/>
    <mergeCell ref="AF18:AK20"/>
    <mergeCell ref="AM18:AR20"/>
    <mergeCell ref="AT18:AY20"/>
    <mergeCell ref="BA18:BF20"/>
    <mergeCell ref="D15:Q15"/>
    <mergeCell ref="S15:AD15"/>
    <mergeCell ref="AF15:AR15"/>
    <mergeCell ref="D17:I17"/>
    <mergeCell ref="K17:P17"/>
    <mergeCell ref="R17:W17"/>
    <mergeCell ref="Y17:AD17"/>
    <mergeCell ref="AF17:AK17"/>
    <mergeCell ref="AM17:AR17"/>
    <mergeCell ref="D7:Z9"/>
    <mergeCell ref="AF7:AR8"/>
    <mergeCell ref="AF9:AR10"/>
    <mergeCell ref="D10:Z10"/>
    <mergeCell ref="D14:Q14"/>
    <mergeCell ref="S14:AD14"/>
  </mergeCells>
  <conditionalFormatting sqref="I13:N15">
    <cfRule type="expression" dxfId="11" priority="6">
      <formula>$I$13&gt;0</formula>
    </cfRule>
  </conditionalFormatting>
  <conditionalFormatting sqref="I16:N16">
    <cfRule type="expression" dxfId="10" priority="4">
      <formula>$I$13&gt;0</formula>
    </cfRule>
  </conditionalFormatting>
  <conditionalFormatting sqref="K18:P20">
    <cfRule type="expression" dxfId="9" priority="7">
      <formula>$I$13&gt;0</formula>
    </cfRule>
  </conditionalFormatting>
  <conditionalFormatting sqref="K21:P21">
    <cfRule type="expression" dxfId="8" priority="5">
      <formula>$I$13&gt;0</formula>
    </cfRule>
  </conditionalFormatting>
  <conditionalFormatting sqref="AD13:AI15">
    <cfRule type="expression" dxfId="7" priority="10">
      <formula>$AD$13&gt;0</formula>
    </cfRule>
  </conditionalFormatting>
  <conditionalFormatting sqref="AD16:AI16">
    <cfRule type="expression" dxfId="6" priority="8">
      <formula>$AD$13&gt;0</formula>
    </cfRule>
  </conditionalFormatting>
  <conditionalFormatting sqref="AF18:AK20">
    <cfRule type="expression" dxfId="5" priority="11">
      <formula>$AD$13&gt;0</formula>
    </cfRule>
  </conditionalFormatting>
  <conditionalFormatting sqref="AF21:AK21">
    <cfRule type="expression" dxfId="4" priority="9">
      <formula>$AD$13&gt;0</formula>
    </cfRule>
  </conditionalFormatting>
  <conditionalFormatting sqref="AK16:AP16">
    <cfRule type="expression" dxfId="3" priority="12">
      <formula>$AK$13&gt;0</formula>
    </cfRule>
  </conditionalFormatting>
  <conditionalFormatting sqref="AM21:AR21">
    <cfRule type="expression" dxfId="2" priority="13">
      <formula>$AK$13&gt;0</formula>
    </cfRule>
  </conditionalFormatting>
  <conditionalFormatting sqref="AT18">
    <cfRule type="expression" dxfId="1" priority="3">
      <formula>$I$13&gt;0</formula>
    </cfRule>
  </conditionalFormatting>
  <conditionalFormatting sqref="BA18:BF20">
    <cfRule type="expression" dxfId="0" priority="2">
      <formula>$I$13&gt;0</formula>
    </cfRule>
  </conditionalFormatting>
  <dataValidations count="2">
    <dataValidation type="list" showErrorMessage="1" errorTitle="Not a valid filter" error="Choose 'All' or one of the six asset categories." sqref="D15" xr:uid="{00000000-0002-0000-0300-000000000000}">
      <formula1>FilterCategoryList</formula1>
      <formula2>0</formula2>
    </dataValidation>
    <dataValidation type="list" showErrorMessage="1" errorTitle="Not a valid filter" error="Choose 'All' or one of the treatment action statuses." sqref="S15" xr:uid="{00000000-0002-0000-0300-000001000000}">
      <formula1>FilterStatusList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6" customWidth="1"/>
    <col min="2" max="2" width="2.453125" customWidth="1"/>
    <col min="3" max="3" width="16" customWidth="1"/>
    <col min="4" max="4" width="2.453125" customWidth="1"/>
    <col min="5" max="5" width="16" customWidth="1"/>
    <col min="6" max="6" width="2.453125" customWidth="1"/>
    <col min="7" max="7" width="22" customWidth="1"/>
    <col min="8" max="8" width="2.453125" customWidth="1"/>
    <col min="9" max="9" width="18" customWidth="1"/>
    <col min="10" max="10" width="2.453125" customWidth="1"/>
    <col min="11" max="11" width="26" customWidth="1"/>
    <col min="12" max="12" width="2.453125" customWidth="1"/>
    <col min="13" max="13" width="34" customWidth="1"/>
    <col min="14" max="14" width="10" customWidth="1"/>
    <col min="15" max="15" width="2.453125" customWidth="1"/>
    <col min="16" max="16" width="26" customWidth="1"/>
    <col min="17" max="17" width="22" customWidth="1"/>
  </cols>
  <sheetData>
    <row r="1" spans="1:17" ht="15" customHeight="1" x14ac:dyDescent="0.35">
      <c r="A1" s="49" t="s">
        <v>62</v>
      </c>
      <c r="C1" s="49" t="s">
        <v>76</v>
      </c>
      <c r="E1" s="49" t="s">
        <v>249</v>
      </c>
      <c r="G1" s="49" t="s">
        <v>89</v>
      </c>
      <c r="I1" s="49" t="s">
        <v>250</v>
      </c>
      <c r="K1" s="49" t="s">
        <v>251</v>
      </c>
      <c r="M1" s="50" t="s">
        <v>252</v>
      </c>
      <c r="N1" s="51" t="s">
        <v>253</v>
      </c>
      <c r="P1" s="50" t="s">
        <v>254</v>
      </c>
      <c r="Q1" s="50" t="s">
        <v>255</v>
      </c>
    </row>
    <row r="2" spans="1:17" ht="15" customHeight="1" x14ac:dyDescent="0.35">
      <c r="A2" s="16" t="s">
        <v>163</v>
      </c>
      <c r="C2" s="16" t="s">
        <v>115</v>
      </c>
      <c r="E2" s="16" t="s">
        <v>196</v>
      </c>
      <c r="G2" s="16" t="s">
        <v>56</v>
      </c>
      <c r="I2" s="16" t="s">
        <v>256</v>
      </c>
      <c r="K2" s="16" t="s">
        <v>55</v>
      </c>
      <c r="M2" s="16" t="s">
        <v>257</v>
      </c>
      <c r="N2" s="52">
        <v>18</v>
      </c>
      <c r="P2" s="16" t="s">
        <v>239</v>
      </c>
      <c r="Q2" s="16" t="s">
        <v>239</v>
      </c>
    </row>
    <row r="3" spans="1:17" ht="15" customHeight="1" x14ac:dyDescent="0.35">
      <c r="A3" s="16" t="s">
        <v>141</v>
      </c>
      <c r="C3" s="16" t="s">
        <v>107</v>
      </c>
      <c r="E3" s="16" t="s">
        <v>116</v>
      </c>
      <c r="G3" s="16" t="s">
        <v>233</v>
      </c>
      <c r="I3" s="16" t="s">
        <v>258</v>
      </c>
      <c r="K3" s="16" t="s">
        <v>135</v>
      </c>
      <c r="M3" s="16" t="s">
        <v>259</v>
      </c>
      <c r="N3" s="52">
        <v>7</v>
      </c>
      <c r="P3" s="16" t="str">
        <f>'Lookup Lists'!$A$2</f>
        <v>Documentation (GRC)</v>
      </c>
      <c r="Q3" s="16" t="str">
        <f>'Lookup Lists'!$G$2</f>
        <v>Pending</v>
      </c>
    </row>
    <row r="4" spans="1:17" ht="15" customHeight="1" x14ac:dyDescent="0.35">
      <c r="A4" s="16" t="s">
        <v>99</v>
      </c>
      <c r="C4" s="16" t="s">
        <v>260</v>
      </c>
      <c r="E4" s="16" t="s">
        <v>109</v>
      </c>
      <c r="G4" s="16" t="s">
        <v>114</v>
      </c>
      <c r="I4" s="16" t="s">
        <v>111</v>
      </c>
      <c r="K4" s="16" t="s">
        <v>106</v>
      </c>
      <c r="M4" s="16" t="s">
        <v>261</v>
      </c>
      <c r="N4" s="52">
        <v>3</v>
      </c>
      <c r="P4" s="16" t="str">
        <f>'Lookup Lists'!$A$3</f>
        <v>Infrastructure</v>
      </c>
      <c r="Q4" s="16" t="str">
        <f>'Lookup Lists'!$G$3</f>
        <v>Open</v>
      </c>
    </row>
    <row r="5" spans="1:17" ht="15" customHeight="1" x14ac:dyDescent="0.35">
      <c r="A5" s="16" t="s">
        <v>128</v>
      </c>
      <c r="I5" s="16" t="s">
        <v>262</v>
      </c>
      <c r="K5" s="16" t="s">
        <v>147</v>
      </c>
      <c r="M5" s="16" t="s">
        <v>263</v>
      </c>
      <c r="N5" s="52">
        <v>6</v>
      </c>
      <c r="P5" s="16" t="str">
        <f>'Lookup Lists'!$A$4</f>
        <v>HR</v>
      </c>
      <c r="Q5" s="16" t="str">
        <f>'Lookup Lists'!$G$4</f>
        <v>Close</v>
      </c>
    </row>
    <row r="6" spans="1:17" ht="15" customHeight="1" x14ac:dyDescent="0.35">
      <c r="A6" s="16" t="s">
        <v>264</v>
      </c>
      <c r="K6" s="16" t="s">
        <v>191</v>
      </c>
      <c r="M6" s="16" t="s">
        <v>265</v>
      </c>
      <c r="N6" s="52">
        <v>12</v>
      </c>
      <c r="P6" s="16" t="str">
        <f>'Lookup Lists'!$A$5</f>
        <v>Software and Application</v>
      </c>
    </row>
    <row r="7" spans="1:17" ht="15" customHeight="1" x14ac:dyDescent="0.35">
      <c r="A7" s="16" t="s">
        <v>185</v>
      </c>
      <c r="M7" s="16" t="s">
        <v>266</v>
      </c>
      <c r="N7" s="52">
        <v>30</v>
      </c>
      <c r="P7" s="16" t="str">
        <f>'Lookup Lists'!$A$6</f>
        <v>Peripherals (Devices)</v>
      </c>
    </row>
    <row r="8" spans="1:17" ht="15" customHeight="1" x14ac:dyDescent="0.35">
      <c r="P8" s="16" t="str">
        <f>'Lookup Lists'!$A$7</f>
        <v>Miscellaneous</v>
      </c>
    </row>
    <row r="9" spans="1:17" ht="15" customHeight="1" x14ac:dyDescent="0.35">
      <c r="M9" s="28" t="s">
        <v>267</v>
      </c>
    </row>
    <row r="10" spans="1:17" ht="15" customHeight="1" x14ac:dyDescent="0.35">
      <c r="M10" s="28" t="s">
        <v>268</v>
      </c>
    </row>
    <row r="11" spans="1:17" ht="15" customHeight="1" x14ac:dyDescent="0.35">
      <c r="M11" s="28" t="s">
        <v>269</v>
      </c>
    </row>
    <row r="13" spans="1:17" ht="15" customHeight="1" x14ac:dyDescent="0.35">
      <c r="A13" s="29" t="s">
        <v>270</v>
      </c>
    </row>
    <row r="14" spans="1:17" ht="15" customHeight="1" x14ac:dyDescent="0.35">
      <c r="A14" s="53" t="s">
        <v>271</v>
      </c>
    </row>
    <row r="15" spans="1:17" ht="15" customHeight="1" x14ac:dyDescent="0.35">
      <c r="A15" s="53" t="s">
        <v>272</v>
      </c>
    </row>
    <row r="16" spans="1:17" ht="15" customHeight="1" x14ac:dyDescent="0.35">
      <c r="A16" s="53" t="s">
        <v>273</v>
      </c>
    </row>
    <row r="17" spans="1:1" ht="15" customHeight="1" x14ac:dyDescent="0.35">
      <c r="A17" s="53" t="s">
        <v>274</v>
      </c>
    </row>
    <row r="18" spans="1:1" ht="15" customHeight="1" x14ac:dyDescent="0.35">
      <c r="A18" s="53" t="s">
        <v>275</v>
      </c>
    </row>
    <row r="19" spans="1:1" ht="15" customHeight="1" x14ac:dyDescent="0.35">
      <c r="A19" s="53" t="s">
        <v>276</v>
      </c>
    </row>
    <row r="20" spans="1:1" ht="15" customHeight="1" x14ac:dyDescent="0.35">
      <c r="A20" s="53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Introduction</vt:lpstr>
      <vt:lpstr>Risk Register</vt:lpstr>
      <vt:lpstr>Dashboard Data</vt:lpstr>
      <vt:lpstr>Executive Dashboard</vt:lpstr>
      <vt:lpstr>Lookup Lists</vt:lpstr>
      <vt:lpstr>AssetCategoryList</vt:lpstr>
      <vt:lpstr>ConsequenceScale</vt:lpstr>
      <vt:lpstr>CritCat</vt:lpstr>
      <vt:lpstr>CritStatus</vt:lpstr>
      <vt:lpstr>FilterCategory</vt:lpstr>
      <vt:lpstr>FilterCategoryList</vt:lpstr>
      <vt:lpstr>FilterStatus</vt:lpstr>
      <vt:lpstr>FilterStatusList</vt:lpstr>
      <vt:lpstr>HighThreshold</vt:lpstr>
      <vt:lpstr>LikelihoodScale</vt:lpstr>
      <vt:lpstr>MediumThreshold</vt:lpstr>
      <vt:lpstr>OwnerList</vt:lpstr>
      <vt:lpstr>'Executive Dashboard'!Print_Area</vt:lpstr>
      <vt:lpstr>RevHigh</vt:lpstr>
      <vt:lpstr>ReviewWindowDays</vt:lpstr>
      <vt:lpstr>RevLow</vt:lpstr>
      <vt:lpstr>RevMed</vt:lpstr>
      <vt:lpstr>StatusList</vt:lpstr>
      <vt:lpstr>TreatmentOptionList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Chaudhry Rayyan Asim</cp:lastModifiedBy>
  <cp:revision>7</cp:revision>
  <dcterms:created xsi:type="dcterms:W3CDTF">2026-08-05T12:09:46Z</dcterms:created>
  <dcterms:modified xsi:type="dcterms:W3CDTF">2026-08-13T20:22:05Z</dcterms:modified>
  <dc:language>en-US</dc:language>
</cp:coreProperties>
</file>