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roduction" sheetId="1" state="visible" r:id="rId3"/>
    <sheet name="Executive Dashboard" sheetId="2" state="visible" r:id="rId4"/>
    <sheet name="KPI Log" sheetId="3" state="visible" r:id="rId5"/>
    <sheet name="Lookup Lists" sheetId="4" state="visible" r:id="rId6"/>
    <sheet name="Dashboard Data" sheetId="5" state="visible" r:id="rId7"/>
  </sheets>
  <definedNames>
    <definedName function="false" hidden="false" name="FilterControlArea" vbProcedure="false">'Executive Dashboard'!$F$6</definedName>
    <definedName function="false" hidden="false" name="FilterObjective" vbProcedure="false">'Executive Dashboard'!$B$6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<sst xmlns="http://schemas.openxmlformats.org/spreadsheetml/2006/main" count="202" uniqueCount="125">
  <si>
    <t xml:space="preserve">Document Information</t>
  </si>
  <si>
    <t xml:space="preserve">Client</t>
  </si>
  <si>
    <t xml:space="preserve">BETACODES</t>
  </si>
  <si>
    <t xml:space="preserve">Project</t>
  </si>
  <si>
    <t xml:space="preserve">ISO/IEC 27001:2022 &amp; ISO 9001:2015 Compliance </t>
  </si>
  <si>
    <t xml:space="preserve">Document Owner</t>
  </si>
  <si>
    <t xml:space="preserve">Document Title</t>
  </si>
  <si>
    <t xml:space="preserve">BETACODES-FRTR-15- Monitoring KPIS's V1.0</t>
  </si>
  <si>
    <t xml:space="preserve">Document Number</t>
  </si>
  <si>
    <t xml:space="preserve">BETACODES-FRTR-15 </t>
  </si>
  <si>
    <t xml:space="preserve">Version No</t>
  </si>
  <si>
    <t xml:space="preserve">V 1.0</t>
  </si>
  <si>
    <t xml:space="preserve">Document Change Record</t>
  </si>
  <si>
    <t xml:space="preserve">S. No</t>
  </si>
  <si>
    <t xml:space="preserve">Date</t>
  </si>
  <si>
    <t xml:space="preserve">Updated By</t>
  </si>
  <si>
    <t xml:space="preserve">Approved By</t>
  </si>
  <si>
    <t xml:space="preserve">Version No 1.0</t>
  </si>
  <si>
    <t xml:space="preserve">Ali Afzal (Compliance Consultant)</t>
  </si>
  <si>
    <t xml:space="preserve">Waqar Ali (CEO)</t>
  </si>
  <si>
    <t xml:space="preserve">FRTR KPI MONITORING DASHBOARD</t>
  </si>
  <si>
    <t xml:space="preserve">ISO/IEC 27001:2022 &amp; ISO 9001:2015  |  Executive Performance Overview</t>
  </si>
  <si>
    <t xml:space="preserve">Live view - recalculates automatically. No refresh required.</t>
  </si>
  <si>
    <t xml:space="preserve">FILTER  -  OBJECTIVE</t>
  </si>
  <si>
    <t xml:space="preserve">FILTER  -  CONTROL AREA</t>
  </si>
  <si>
    <t xml:space="preserve">Both filters drive every KPI card and chart on this page.</t>
  </si>
  <si>
    <t xml:space="preserve">All</t>
  </si>
  <si>
    <t xml:space="preserve">TOTAL KPIs</t>
  </si>
  <si>
    <t xml:space="preserve">AVERAGE ACHIEVEMENT</t>
  </si>
  <si>
    <t xml:space="preserve">ACHIEVED</t>
  </si>
  <si>
    <t xml:space="preserve">IN PROGRESS</t>
  </si>
  <si>
    <t xml:space="preserve">NEEDS ATTENTION</t>
  </si>
  <si>
    <t xml:space="preserve">STRONG KPIs</t>
  </si>
  <si>
    <t xml:space="preserve">KPI ID</t>
  </si>
  <si>
    <t xml:space="preserve">Objective</t>
  </si>
  <si>
    <t xml:space="preserve">Control Area</t>
  </si>
  <si>
    <t xml:space="preserve">Control / Project</t>
  </si>
  <si>
    <t xml:space="preserve">Metric</t>
  </si>
  <si>
    <t xml:space="preserve">Collection Method</t>
  </si>
  <si>
    <t xml:space="preserve">Collection Frequency</t>
  </si>
  <si>
    <t xml:space="preserve">Who Collects</t>
  </si>
  <si>
    <t xml:space="preserve">A (Current Value)</t>
  </si>
  <si>
    <t xml:space="preserve">B (Max Value)</t>
  </si>
  <si>
    <t xml:space="preserve">Achievement %</t>
  </si>
  <si>
    <t xml:space="preserve">Performance Level</t>
  </si>
  <si>
    <t xml:space="preserve">Achievement Status</t>
  </si>
  <si>
    <t xml:space="preserve">Effective Information Security</t>
  </si>
  <si>
    <t xml:space="preserve">Governance &amp; Documentation</t>
  </si>
  <si>
    <t xml:space="preserve">Governance</t>
  </si>
  <si>
    <t xml:space="preserve">(ISO 27001:2022 &amp; ISO 9001:2015 documents approved) / (Total documents required)</t>
  </si>
  <si>
    <t xml:space="preserve">Master Document List / Document Approval Register</t>
  </si>
  <si>
    <t xml:space="preserve">Yearly</t>
  </si>
  <si>
    <t xml:space="preserve">Compliance Consultant / Senior Management</t>
  </si>
  <si>
    <t xml:space="preserve">Ongoing Risk Assessment &amp; Mitigation</t>
  </si>
  <si>
    <t xml:space="preserve">Risk Management</t>
  </si>
  <si>
    <t xml:space="preserve">Risk Identification</t>
  </si>
  <si>
    <t xml:space="preserve">(Risks identified &amp; assessed) / (Total risks in register)</t>
  </si>
  <si>
    <t xml:space="preserve">Risk Register</t>
  </si>
  <si>
    <t xml:space="preserve">Monthly</t>
  </si>
  <si>
    <t xml:space="preserve">Compliance Consultant</t>
  </si>
  <si>
    <t xml:space="preserve">Risk Treatment</t>
  </si>
  <si>
    <t xml:space="preserve">(Risks mitigated) / (Total number of risks)</t>
  </si>
  <si>
    <t xml:space="preserve">Risk Register / Risk Treatment Plan</t>
  </si>
  <si>
    <t xml:space="preserve">Security Testing</t>
  </si>
  <si>
    <t xml:space="preserve">Vulnerabilities - Network</t>
  </si>
  <si>
    <t xml:space="preserve">(VAPT scans completed) / (VAPT scans planned)</t>
  </si>
  <si>
    <t xml:space="preserve">Network VAPT / Penetration Test Report</t>
  </si>
  <si>
    <t xml:space="preserve">IT Head</t>
  </si>
  <si>
    <t xml:space="preserve">Secure Software Development</t>
  </si>
  <si>
    <t xml:space="preserve">Vulnerabilities - Application</t>
  </si>
  <si>
    <t xml:space="preserve">(Source code reviews completed) / (Source code reviews planned)</t>
  </si>
  <si>
    <t xml:space="preserve">Source Code Review Report (Data Next)</t>
  </si>
  <si>
    <t xml:space="preserve">Frontend and Backend Lead</t>
  </si>
  <si>
    <t xml:space="preserve">Knowledge &amp; Expertise</t>
  </si>
  <si>
    <t xml:space="preserve">Training &amp; Awareness</t>
  </si>
  <si>
    <t xml:space="preserve">Training - ISO 27001:2022</t>
  </si>
  <si>
    <t xml:space="preserve">(ISO 27001 awareness sessions delivered) / (Sessions planned)</t>
  </si>
  <si>
    <t xml:space="preserve">Employee Training Records / Attendance Sheet</t>
  </si>
  <si>
    <t xml:space="preserve">Annually</t>
  </si>
  <si>
    <t xml:space="preserve">HR Manager / Compliance Consultant</t>
  </si>
  <si>
    <t xml:space="preserve">Training - ISO 9001:2015</t>
  </si>
  <si>
    <t xml:space="preserve">(ISO 9001 awareness sessions delivered) / (Sessions planned)</t>
  </si>
  <si>
    <t xml:space="preserve">Audit &amp; Assurance</t>
  </si>
  <si>
    <t xml:space="preserve">Internal Audit - ISO 27001:2022</t>
  </si>
  <si>
    <t xml:space="preserve">(ISO 27001 internal audits completed) / (Audits planned)</t>
  </si>
  <si>
    <t xml:space="preserve">Internal Audit Report</t>
  </si>
  <si>
    <t xml:space="preserve">Internal Auditor</t>
  </si>
  <si>
    <t xml:space="preserve">Internal Audit - ISO 9001:2015</t>
  </si>
  <si>
    <t xml:space="preserve">(ISO 9001 internal audits completed) / (Audits planned)</t>
  </si>
  <si>
    <t xml:space="preserve">Management Review - ISO 27001:2022</t>
  </si>
  <si>
    <t xml:space="preserve">(ISO 27001 management reviews held) / (Reviews planned)</t>
  </si>
  <si>
    <t xml:space="preserve">Management Review Meeting Minutes</t>
  </si>
  <si>
    <t xml:space="preserve">Compliance Consultant and Company Secretary</t>
  </si>
  <si>
    <t xml:space="preserve">Management Review - ISO 9001:2015</t>
  </si>
  <si>
    <t xml:space="preserve">(ISO 9001 management reviews held) / (Reviews planned)</t>
  </si>
  <si>
    <t xml:space="preserve">Secure Development</t>
  </si>
  <si>
    <t xml:space="preserve">Projects</t>
  </si>
  <si>
    <t xml:space="preserve">(Software development projects delivered) / (Total dev projects)</t>
  </si>
  <si>
    <t xml:space="preserve">Project Management / SDLC Records</t>
  </si>
  <si>
    <t xml:space="preserve">Quarterly</t>
  </si>
  <si>
    <t xml:space="preserve">Project Manager</t>
  </si>
  <si>
    <t xml:space="preserve">SDLC Compliance</t>
  </si>
  <si>
    <t xml:space="preserve">(Applications following SDLC) / (Total applications under development)</t>
  </si>
  <si>
    <t xml:space="preserve">Filter - Objective List</t>
  </si>
  <si>
    <t xml:space="preserve">Filter - Control Area List</t>
  </si>
  <si>
    <t xml:space="preserve">KPI Cards</t>
  </si>
  <si>
    <t xml:space="preserve">KPI Achievement by Objective</t>
  </si>
  <si>
    <t xml:space="preserve">Performance by Control Area</t>
  </si>
  <si>
    <t xml:space="preserve">Active Filters</t>
  </si>
  <si>
    <t xml:space="preserve">Card</t>
  </si>
  <si>
    <t xml:space="preserve">Value</t>
  </si>
  <si>
    <t xml:space="preserve">Average Achievement %</t>
  </si>
  <si>
    <t xml:space="preserve">Total KPIs</t>
  </si>
  <si>
    <t xml:space="preserve">Average Achievement</t>
  </si>
  <si>
    <t xml:space="preserve">ObjCriteria</t>
  </si>
  <si>
    <t xml:space="preserve">Achieved KPIs</t>
  </si>
  <si>
    <t xml:space="preserve">AreaCriteria</t>
  </si>
  <si>
    <t xml:space="preserve">In Progress</t>
  </si>
  <si>
    <t xml:space="preserve">Needs Attention</t>
  </si>
  <si>
    <t xml:space="preserve">Strong KPIs</t>
  </si>
  <si>
    <t xml:space="preserve">KPI Achievement Status</t>
  </si>
  <si>
    <t xml:space="preserve">Status</t>
  </si>
  <si>
    <t xml:space="preserve">Count</t>
  </si>
  <si>
    <t xml:space="preserve">Achieved</t>
  </si>
  <si>
    <t xml:space="preserve">Not Achieved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</si>
</sst>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\-yy"/>
    <numFmt numFmtId="166" formatCode="0"/>
    <numFmt numFmtId="167" formatCode="0%"/>
    <numFmt numFmtId="168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20"/>
      <color rgb="FFFFFFFF"/>
      <name val="Segoe UI"/>
      <family val="0"/>
      <charset val="1"/>
    </font>
    <font>
      <i val="true"/>
      <sz val="9"/>
      <color rgb="FF9FB0C7"/>
      <name val="Segoe UI"/>
      <family val="0"/>
      <charset val="1"/>
    </font>
    <font>
      <sz val="11"/>
      <color rgb="FFC9D6E5"/>
      <name val="Segoe UI"/>
      <family val="0"/>
      <charset val="1"/>
    </font>
    <font>
      <b val="true"/>
      <sz val="8"/>
      <color rgb="FF9FB0C7"/>
      <name val="Segoe UI"/>
      <family val="0"/>
      <charset val="1"/>
    </font>
    <font>
      <i val="true"/>
      <sz val="8"/>
      <color rgb="FF9FB0C7"/>
      <name val="Segoe UI"/>
      <family val="0"/>
      <charset val="1"/>
    </font>
    <font>
      <b val="true"/>
      <sz val="11"/>
      <color rgb="FF0F2747"/>
      <name val="Segoe UI"/>
      <family val="0"/>
      <charset val="1"/>
    </font>
    <font>
      <b val="true"/>
      <sz val="8"/>
      <color rgb="FF6B7480"/>
      <name val="Segoe UI"/>
      <family val="0"/>
      <charset val="1"/>
    </font>
    <font>
      <b val="true"/>
      <sz val="24"/>
      <color rgb="FF0F2747"/>
      <name val="Segoe UI"/>
      <family val="0"/>
      <charset val="1"/>
    </font>
    <font>
      <b val="true"/>
      <sz val="24"/>
      <color rgb="FF2E75B6"/>
      <name val="Segoe UI"/>
      <family val="0"/>
      <charset val="1"/>
    </font>
    <font>
      <b val="true"/>
      <sz val="24"/>
      <color rgb="FF70AD47"/>
      <name val="Segoe UI"/>
      <family val="0"/>
      <charset val="1"/>
    </font>
    <font>
      <b val="true"/>
      <sz val="24"/>
      <color rgb="FFF2B134"/>
      <name val="Segoe UI"/>
      <family val="0"/>
      <charset val="1"/>
    </font>
    <font>
      <b val="true"/>
      <sz val="24"/>
      <color rgb="FFC0392B"/>
      <name val="Segoe UI"/>
      <family val="0"/>
      <charset val="1"/>
    </font>
    <font>
      <sz val="8"/>
      <color rgb="FF9FB0C7"/>
      <name val="Segoe UI"/>
      <family val="0"/>
      <charset val="1"/>
    </font>
    <font>
      <b val="true"/>
      <sz val="14"/>
      <color rgb="FFFFFFFF"/>
      <name val="Segoe UI"/>
      <family val="2"/>
    </font>
    <font>
      <sz val="10"/>
      <color rgb="FFFFFFFF"/>
      <name val="Segoe UI"/>
      <family val="2"/>
    </font>
    <font>
      <sz val="9"/>
      <color rgb="FF9FB0C7"/>
      <name val="Segoe UI"/>
      <family val="2"/>
    </font>
    <font>
      <b val="true"/>
      <sz val="13"/>
      <color rgb="FFFFFFFF"/>
      <name val="Segoe UI"/>
      <family val="2"/>
    </font>
    <font>
      <sz val="9"/>
      <color rgb="FFFFFFFF"/>
      <name val="Segoe UI"/>
      <family val="2"/>
    </font>
    <font>
      <sz val="8"/>
      <color rgb="FF9FB0C7"/>
      <name val="Segoe UI"/>
      <family val="2"/>
    </font>
    <font>
      <b val="true"/>
      <sz val="10"/>
      <color rgb="FFFFFFFF"/>
      <name val="Aptos"/>
      <family val="0"/>
      <charset val="1"/>
    </font>
    <font>
      <sz val="10"/>
      <color rgb="FF1A1A1A"/>
      <name val="Aptos"/>
      <family val="0"/>
      <charset val="1"/>
    </font>
    <font>
      <sz val="10"/>
      <name val="Aptos"/>
      <family val="0"/>
      <charset val="1"/>
    </font>
    <font>
      <b val="true"/>
      <sz val="11"/>
      <color rgb="FF0F2747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1A1A1A"/>
      </patternFill>
    </fill>
    <fill>
      <patternFill patternType="solid">
        <fgColor theme="0" tint="-0.5"/>
        <bgColor rgb="FF6B7480"/>
      </patternFill>
    </fill>
    <fill>
      <patternFill patternType="solid">
        <fgColor rgb="FF54AD2D"/>
        <bgColor rgb="FF70AD47"/>
      </patternFill>
    </fill>
    <fill>
      <patternFill patternType="solid">
        <fgColor theme="0"/>
        <bgColor rgb="FFFFFFCC"/>
      </patternFill>
    </fill>
    <fill>
      <patternFill patternType="solid">
        <fgColor rgb="FF0F2747"/>
        <bgColor rgb="FF15325A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/>
      <bottom style="thin">
        <color rgb="FF2E75B6"/>
      </bottom>
      <diagonal/>
    </border>
    <border diagonalUp="false" diagonalDown="false">
      <left/>
      <right style="thin">
        <color rgb="FF0F2747"/>
      </right>
      <top/>
      <bottom/>
      <diagonal/>
    </border>
    <border diagonalUp="false" diagonalDown="false">
      <left/>
      <right style="thin">
        <color rgb="FF0F2747"/>
      </right>
      <top/>
      <bottom style="medium">
        <color rgb="FF0F2747"/>
      </bottom>
      <diagonal/>
    </border>
    <border diagonalUp="false" diagonalDown="false">
      <left/>
      <right style="thin">
        <color rgb="FF0F2747"/>
      </right>
      <top/>
      <bottom style="medium">
        <color rgb="FF2E75B6"/>
      </bottom>
      <diagonal/>
    </border>
    <border diagonalUp="false" diagonalDown="false">
      <left/>
      <right style="thin">
        <color rgb="FF0F2747"/>
      </right>
      <top/>
      <bottom style="medium">
        <color rgb="FF70AD47"/>
      </bottom>
      <diagonal/>
    </border>
    <border diagonalUp="false" diagonalDown="false">
      <left/>
      <right style="thin">
        <color rgb="FF0F2747"/>
      </right>
      <top/>
      <bottom style="medium">
        <color rgb="FFF2B134"/>
      </bottom>
      <diagonal/>
    </border>
    <border diagonalUp="false" diagonalDown="false">
      <left/>
      <right style="thin">
        <color rgb="FF0F2747"/>
      </right>
      <top/>
      <bottom style="medium">
        <color rgb="FFC0392B"/>
      </bottom>
      <diagonal/>
    </border>
    <border diagonalUp="false" diagonalDown="false">
      <left/>
      <right/>
      <top/>
      <bottom style="medium">
        <color rgb="FF70AD47"/>
      </bottom>
      <diagonal/>
    </border>
    <border diagonalUp="false" diagonalDown="false">
      <left/>
      <right/>
      <top/>
      <bottom style="thin">
        <color rgb="FF2E487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3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</cellStyles>
  <dxfs count="11">
    <dxf>
      <fill>
        <patternFill patternType="solid">
          <fgColor rgb="FF0F27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2"/>
        <color rgb="FF000000"/>
        <sz val="11"/>
      </font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B050"/>
      <rgbColor rgb="FF9FB0C7"/>
      <rgbColor rgb="FF808080"/>
      <rgbColor rgb="FF5B9BD5"/>
      <rgbColor rgb="FF993366"/>
      <rgbColor rgb="FFFFFFCC"/>
      <rgbColor rgb="FFD9D9D9"/>
      <rgbColor rgb="FF660066"/>
      <rgbColor rgb="FFFF8080"/>
      <rgbColor rgb="FF0066CC"/>
      <rgbColor rgb="FFC9D6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2B134"/>
      <rgbColor rgb="FFFF6600"/>
      <rgbColor rgb="FF6B7480"/>
      <rgbColor rgb="FF70AD47"/>
      <rgbColor rgb="FF15325A"/>
      <rgbColor rgb="FF54AD2D"/>
      <rgbColor rgb="FF003300"/>
      <rgbColor rgb="FF1A1A1A"/>
      <rgbColor rgb="FFC0392B"/>
      <rgbColor rgb="FF993366"/>
      <rgbColor rgb="FF2E4870"/>
      <rgbColor rgb="FF0F2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ffffff"/>
                </a:solidFill>
                <a:latin typeface="Segoe UI"/>
              </a:defRPr>
            </a:pPr>
            <a:r>
              <a:rPr b="1" sz="1400" spc="-1" strike="noStrike">
                <a:solidFill>
                  <a:srgbClr val="ffffff"/>
                </a:solidFill>
                <a:latin typeface="Segoe UI"/>
              </a:rPr>
              <a:t>KPI Achievement by Objective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'Dashboard Data'!E2</c:f>
              <c:strCache>
                <c:ptCount val="1"/>
                <c:pt idx="0">
                  <c:v>Average Achievement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ffffff"/>
                    </a:solidFill>
                    <a:latin typeface="Segoe U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Data'!$D$3:$D$6</c:f>
              <c:strCache>
                <c:ptCount val="4"/>
                <c:pt idx="0">
                  <c:v>Effective Information Security</c:v>
                </c:pt>
                <c:pt idx="1">
                  <c:v>Ongoing Risk Assessment &amp; Mitigation</c:v>
                </c:pt>
                <c:pt idx="2">
                  <c:v>Knowledge &amp; Expertise</c:v>
                </c:pt>
                <c:pt idx="3">
                  <c:v>Secure Software Development</c:v>
                </c:pt>
              </c:strCache>
            </c:strRef>
          </c:cat>
          <c:val>
            <c:numRef>
              <c:f>'Dashboard Data'!$E$3:$E$6</c:f>
              <c:numCache>
                <c:formatCode>0%</c:formatCode>
                <c:ptCount val="4"/>
                <c:pt idx="0">
                  <c:v>1</c:v>
                </c:pt>
                <c:pt idx="1">
                  <c:v>0.925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60"/>
        <c:overlap val="0"/>
        <c:axId val="58022337"/>
        <c:axId val="37148618"/>
      </c:barChart>
      <c:catAx>
        <c:axId val="58022337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2e487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fb0c7"/>
                </a:solidFill>
                <a:latin typeface="Segoe UI"/>
              </a:defRPr>
            </a:pPr>
          </a:p>
        </c:txPr>
        <c:crossAx val="37148618"/>
        <c:crosses val="autoZero"/>
        <c:auto val="1"/>
        <c:lblAlgn val="ctr"/>
        <c:lblOffset val="100"/>
        <c:noMultiLvlLbl val="0"/>
      </c:catAx>
      <c:valAx>
        <c:axId val="37148618"/>
        <c:scaling>
          <c:orientation val="minMax"/>
          <c:max val="1.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fb0c7"/>
                </a:solidFill>
                <a:latin typeface="Segoe UI"/>
              </a:defRPr>
            </a:pPr>
          </a:p>
        </c:txPr>
        <c:crossAx val="580223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5325a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fffff"/>
                </a:solidFill>
                <a:latin typeface="Segoe UI"/>
              </a:defRPr>
            </a:pPr>
            <a:r>
              <a:rPr b="1" sz="1300" spc="-1" strike="noStrike">
                <a:solidFill>
                  <a:srgbClr val="ffffff"/>
                </a:solidFill>
                <a:latin typeface="Segoe UI"/>
              </a:rPr>
              <a:t>Performance by Control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'Dashboard Data'!H2</c:f>
              <c:strCache>
                <c:ptCount val="1"/>
                <c:pt idx="0">
                  <c:v>Average Achievement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ffffff"/>
                    </a:solidFill>
                    <a:latin typeface="Segoe U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Data'!$G$3:$G$8</c:f>
              <c:strCache>
                <c:ptCount val="6"/>
                <c:pt idx="0">
                  <c:v>Governance &amp; Documentation</c:v>
                </c:pt>
                <c:pt idx="1">
                  <c:v>Risk Management</c:v>
                </c:pt>
                <c:pt idx="2">
                  <c:v>Security Testing</c:v>
                </c:pt>
                <c:pt idx="3">
                  <c:v>Training &amp; Awareness</c:v>
                </c:pt>
                <c:pt idx="4">
                  <c:v>Audit &amp; Assurance</c:v>
                </c:pt>
                <c:pt idx="5">
                  <c:v>Secure Development</c:v>
                </c:pt>
              </c:strCache>
            </c:strRef>
          </c:cat>
          <c:val>
            <c:numRef>
              <c:f>'Dashboard Data'!$H$3:$H$8</c:f>
              <c:numCache>
                <c:formatCode>0%</c:formatCode>
                <c:ptCount val="6"/>
                <c:pt idx="0">
                  <c:v>1</c:v>
                </c:pt>
                <c:pt idx="1">
                  <c:v>0.85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60"/>
        <c:overlap val="0"/>
        <c:axId val="68121287"/>
        <c:axId val="16036803"/>
      </c:barChart>
      <c:catAx>
        <c:axId val="68121287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2e487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9fb0c7"/>
                </a:solidFill>
                <a:latin typeface="Segoe UI"/>
              </a:defRPr>
            </a:pPr>
          </a:p>
        </c:txPr>
        <c:crossAx val="16036803"/>
        <c:crosses val="autoZero"/>
        <c:auto val="1"/>
        <c:lblAlgn val="ctr"/>
        <c:lblOffset val="100"/>
        <c:noMultiLvlLbl val="0"/>
      </c:catAx>
      <c:valAx>
        <c:axId val="16036803"/>
        <c:scaling>
          <c:orientation val="minMax"/>
          <c:max val="1.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9fb0c7"/>
                </a:solidFill>
                <a:latin typeface="Segoe UI"/>
              </a:defRPr>
            </a:pPr>
          </a:p>
        </c:txPr>
        <c:crossAx val="681212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5325a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fffff"/>
                </a:solidFill>
                <a:latin typeface="Segoe UI"/>
              </a:defRPr>
            </a:pPr>
            <a:r>
              <a:rPr b="1" sz="1300" spc="-1" strike="noStrike">
                <a:solidFill>
                  <a:srgbClr val="ffffff"/>
                </a:solidFill>
                <a:latin typeface="Segoe UI"/>
              </a:rPr>
              <a:t>KPI Achievement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'Dashboard Data'!E9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0ad47"/>
              </a:solidFill>
              <a:ln w="19080">
                <a:solidFill>
                  <a:srgbClr val="15325a"/>
                </a:solidFill>
                <a:round/>
              </a:ln>
            </c:spPr>
          </c:dPt>
          <c:dPt>
            <c:idx val="1"/>
            <c:spPr>
              <a:solidFill>
                <a:srgbClr val="f2b134"/>
              </a:solidFill>
              <a:ln w="19080">
                <a:solidFill>
                  <a:srgbClr val="15325a"/>
                </a:solidFill>
                <a:round/>
              </a:ln>
            </c:spPr>
          </c:dPt>
          <c:dPt>
            <c:idx val="2"/>
            <c:spPr>
              <a:solidFill>
                <a:srgbClr val="c0392b"/>
              </a:solidFill>
              <a:ln w="19080">
                <a:solidFill>
                  <a:srgbClr val="15325a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fffff"/>
                      </a:solidFill>
                      <a:latin typeface="Segoe U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fffff"/>
                      </a:solidFill>
                      <a:latin typeface="Segoe U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fffff"/>
                      </a:solidFill>
                      <a:latin typeface="Segoe U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ffffff"/>
                    </a:solidFill>
                    <a:latin typeface="Segoe U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'Dashboard Data'!$D$10:$D$12</c:f>
              <c:strCache>
                <c:ptCount val="3"/>
                <c:pt idx="0">
                  <c:v>Achieved</c:v>
                </c:pt>
                <c:pt idx="1">
                  <c:v>In Progress</c:v>
                </c:pt>
                <c:pt idx="2">
                  <c:v>Not Achieved</c:v>
                </c:pt>
              </c:strCache>
            </c:strRef>
          </c:cat>
          <c:val>
            <c:numRef>
              <c:f>'Dashboard Data'!$E$10:$E$12</c:f>
              <c:numCache>
                <c:formatCode>General</c:formatCode>
                <c:ptCount val="3"/>
                <c:pt idx="0">
                  <c:v>12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9fb0c7"/>
              </a:solidFill>
              <a:latin typeface="Segoe UI"/>
            </a:defRPr>
          </a:pPr>
        </a:p>
      </c:txPr>
    </c:legend>
    <c:plotVisOnly val="1"/>
    <c:dispBlanksAs val="gap"/>
  </c:chart>
  <c:spPr>
    <a:solidFill>
      <a:srgbClr val="15325a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76320</xdr:colOff>
      <xdr:row>6</xdr:row>
      <xdr:rowOff>23040</xdr:rowOff>
    </xdr:from>
    <xdr:to>
      <xdr:col>4</xdr:col>
      <xdr:colOff>364680</xdr:colOff>
      <xdr:row>8</xdr:row>
      <xdr:rowOff>152640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165960" y="1051920"/>
          <a:ext cx="2357640" cy="491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12</xdr:col>
      <xdr:colOff>204120</xdr:colOff>
      <xdr:row>29</xdr:row>
      <xdr:rowOff>47160</xdr:rowOff>
    </xdr:to>
    <xdr:graphicFrame>
      <xdr:nvGraphicFramePr>
        <xdr:cNvPr id="1" name="Chart 1"/>
        <xdr:cNvGraphicFramePr/>
      </xdr:nvGraphicFramePr>
      <xdr:xfrm>
        <a:off x="211320" y="2266920"/>
        <a:ext cx="9899280" cy="309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344160</xdr:colOff>
      <xdr:row>46</xdr:row>
      <xdr:rowOff>47520</xdr:rowOff>
    </xdr:to>
    <xdr:graphicFrame>
      <xdr:nvGraphicFramePr>
        <xdr:cNvPr id="2" name="Chart 2"/>
        <xdr:cNvGraphicFramePr/>
      </xdr:nvGraphicFramePr>
      <xdr:xfrm>
        <a:off x="211320" y="5438880"/>
        <a:ext cx="4751280" cy="309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12</xdr:col>
      <xdr:colOff>344520</xdr:colOff>
      <xdr:row>46</xdr:row>
      <xdr:rowOff>47520</xdr:rowOff>
    </xdr:to>
    <xdr:graphicFrame>
      <xdr:nvGraphicFramePr>
        <xdr:cNvPr id="3" name="Chart 3"/>
        <xdr:cNvGraphicFramePr/>
      </xdr:nvGraphicFramePr>
      <xdr:xfrm>
        <a:off x="5499720" y="5438880"/>
        <a:ext cx="4751280" cy="309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KPILog" displayName="tblKPILog" ref="A1:M14" headerRowCount="1" totalsRowCount="0" totalsRowShown="0">
  <autoFilter ref="A1:M14"/>
  <tableColumns count="13">
    <tableColumn id="1" name="KPI ID"/>
    <tableColumn id="2" name="Objective"/>
    <tableColumn id="3" name="Control Area"/>
    <tableColumn id="4" name="Control / Project"/>
    <tableColumn id="5" name="Metric"/>
    <tableColumn id="6" name="Collection Method"/>
    <tableColumn id="7" name="Collection Frequency"/>
    <tableColumn id="8" name="Who Collects"/>
    <tableColumn id="9" name="A (Current Value)"/>
    <tableColumn id="10" name="B (Max Value)"/>
    <tableColumn id="11" name="Achievement %"/>
    <tableColumn id="12" name="Performance Level"/>
    <tableColumn id="13" name="Achievement 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6" activeCellId="0" sqref="J26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" width="1.27"/>
    <col collapsed="false" customWidth="true" hidden="false" outlineLevel="0" max="3" min="3" style="1" width="11"/>
    <col collapsed="false" customWidth="true" hidden="false" outlineLevel="0" max="5" min="5" style="1" width="6"/>
    <col collapsed="false" customWidth="true" hidden="false" outlineLevel="0" max="9" min="9" style="1" width="12.45"/>
    <col collapsed="false" customWidth="true" hidden="false" outlineLevel="0" max="12" min="12" style="1" width="10.82"/>
  </cols>
  <sheetData>
    <row r="1" customFormat="false" ht="9" hidden="false" customHeight="true" outlineLevel="0" collapsed="false"/>
    <row r="2" customFormat="false" ht="1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B3" s="3"/>
      <c r="C3" s="4"/>
      <c r="D3" s="4"/>
      <c r="E3" s="5"/>
      <c r="F3" s="6"/>
      <c r="G3" s="6"/>
      <c r="H3" s="6"/>
      <c r="I3" s="6"/>
      <c r="J3" s="6"/>
      <c r="K3" s="6"/>
      <c r="L3" s="6"/>
    </row>
    <row r="4" customFormat="false" ht="14.25" hidden="false" customHeight="true" outlineLevel="0" collapsed="false">
      <c r="B4" s="3"/>
      <c r="C4" s="4"/>
      <c r="D4" s="4"/>
      <c r="E4" s="5"/>
      <c r="F4" s="6"/>
      <c r="G4" s="6"/>
      <c r="H4" s="6"/>
      <c r="I4" s="6"/>
      <c r="J4" s="6"/>
      <c r="K4" s="6"/>
      <c r="L4" s="6"/>
    </row>
    <row r="5" customFormat="false" ht="14.25" hidden="false" customHeight="true" outlineLevel="0" collapsed="false">
      <c r="B5" s="3"/>
      <c r="C5" s="4"/>
      <c r="D5" s="4"/>
      <c r="E5" s="5"/>
      <c r="F5" s="6"/>
      <c r="G5" s="6"/>
      <c r="H5" s="6"/>
      <c r="I5" s="6"/>
      <c r="J5" s="6"/>
      <c r="K5" s="6"/>
      <c r="L5" s="6"/>
    </row>
    <row r="6" customFormat="false" ht="14.25" hidden="false" customHeight="true" outlineLevel="0" collapsed="false">
      <c r="B6" s="3"/>
      <c r="C6" s="4"/>
      <c r="D6" s="4"/>
      <c r="E6" s="5"/>
      <c r="F6" s="6"/>
      <c r="G6" s="6"/>
      <c r="H6" s="6"/>
      <c r="I6" s="6"/>
      <c r="J6" s="6"/>
      <c r="K6" s="6"/>
      <c r="L6" s="6"/>
    </row>
    <row r="7" customFormat="false" ht="14.25" hidden="false" customHeight="true" outlineLevel="0" collapsed="false">
      <c r="B7" s="3"/>
      <c r="C7" s="4"/>
      <c r="D7" s="4"/>
      <c r="E7" s="5"/>
      <c r="F7" s="6"/>
      <c r="G7" s="6"/>
      <c r="H7" s="6"/>
      <c r="I7" s="6"/>
      <c r="J7" s="6"/>
      <c r="K7" s="6"/>
      <c r="L7" s="6"/>
    </row>
    <row r="8" customFormat="false" ht="14.25" hidden="false" customHeight="true" outlineLevel="0" collapsed="false">
      <c r="B8" s="3"/>
      <c r="C8" s="4"/>
      <c r="D8" s="4"/>
      <c r="E8" s="5"/>
      <c r="F8" s="6"/>
      <c r="G8" s="6"/>
      <c r="H8" s="6"/>
      <c r="I8" s="6"/>
      <c r="J8" s="6"/>
      <c r="K8" s="6"/>
      <c r="L8" s="6"/>
    </row>
    <row r="9" customFormat="false" ht="14.25" hidden="false" customHeight="true" outlineLevel="0" collapsed="false">
      <c r="B9" s="3"/>
      <c r="C9" s="4"/>
      <c r="D9" s="4"/>
      <c r="E9" s="5"/>
      <c r="F9" s="6"/>
      <c r="G9" s="6"/>
      <c r="H9" s="6"/>
      <c r="I9" s="6"/>
      <c r="J9" s="6"/>
      <c r="K9" s="6"/>
      <c r="L9" s="6"/>
    </row>
    <row r="10" customFormat="false" ht="21.75" hidden="false" customHeight="true" outlineLevel="0" collapsed="false">
      <c r="B10" s="3"/>
      <c r="C10" s="4"/>
      <c r="D10" s="4"/>
      <c r="E10" s="5"/>
      <c r="F10" s="6"/>
      <c r="G10" s="6"/>
      <c r="H10" s="6"/>
      <c r="I10" s="6"/>
      <c r="J10" s="6"/>
      <c r="K10" s="6"/>
      <c r="L10" s="6"/>
    </row>
    <row r="11" customFormat="false" ht="40.5" hidden="false" customHeight="true" outlineLevel="0" collapsed="false">
      <c r="B11" s="7"/>
      <c r="C11" s="8"/>
      <c r="D11" s="8"/>
      <c r="E11" s="9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customFormat="false" ht="16.5" hidden="false" customHeight="true" outlineLevel="0" collapsed="false">
      <c r="B13" s="11" t="s">
        <v>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true" outlineLevel="0" collapsed="false">
      <c r="B14" s="12" t="s">
        <v>1</v>
      </c>
      <c r="C14" s="12"/>
      <c r="D14" s="13" t="s">
        <v>2</v>
      </c>
      <c r="E14" s="13"/>
      <c r="F14" s="13"/>
      <c r="G14" s="13"/>
      <c r="H14" s="13"/>
      <c r="I14" s="13"/>
      <c r="J14" s="13"/>
      <c r="K14" s="13"/>
      <c r="L14" s="13"/>
    </row>
    <row r="15" customFormat="false" ht="15" hidden="false" customHeight="true" outlineLevel="0" collapsed="false">
      <c r="B15" s="12" t="s">
        <v>3</v>
      </c>
      <c r="C15" s="12"/>
      <c r="D15" s="13" t="s">
        <v>4</v>
      </c>
      <c r="E15" s="13"/>
      <c r="F15" s="13"/>
      <c r="G15" s="13"/>
      <c r="H15" s="13"/>
      <c r="I15" s="13"/>
      <c r="J15" s="13"/>
      <c r="K15" s="13"/>
      <c r="L15" s="13"/>
    </row>
    <row r="16" customFormat="false" ht="15" hidden="false" customHeight="true" outlineLevel="0" collapsed="false">
      <c r="B16" s="12" t="s">
        <v>5</v>
      </c>
      <c r="C16" s="12"/>
      <c r="D16" s="13" t="s">
        <v>2</v>
      </c>
      <c r="E16" s="13"/>
      <c r="F16" s="13"/>
      <c r="G16" s="13"/>
      <c r="H16" s="13"/>
      <c r="I16" s="13"/>
      <c r="J16" s="13"/>
      <c r="K16" s="13"/>
      <c r="L16" s="13"/>
    </row>
    <row r="17" customFormat="false" ht="15" hidden="false" customHeight="true" outlineLevel="0" collapsed="false">
      <c r="B17" s="12" t="s">
        <v>6</v>
      </c>
      <c r="C17" s="12"/>
      <c r="D17" s="13" t="s">
        <v>7</v>
      </c>
      <c r="E17" s="13"/>
      <c r="F17" s="13"/>
      <c r="G17" s="13"/>
      <c r="H17" s="13"/>
      <c r="I17" s="13"/>
      <c r="J17" s="13"/>
      <c r="K17" s="13"/>
      <c r="L17" s="13"/>
    </row>
    <row r="18" customFormat="false" ht="15" hidden="false" customHeight="true" outlineLevel="0" collapsed="false">
      <c r="B18" s="12" t="s">
        <v>8</v>
      </c>
      <c r="C18" s="12"/>
      <c r="D18" s="13" t="s">
        <v>9</v>
      </c>
      <c r="E18" s="13"/>
      <c r="F18" s="13"/>
      <c r="G18" s="13"/>
      <c r="H18" s="13"/>
      <c r="I18" s="13"/>
      <c r="J18" s="13"/>
      <c r="K18" s="13"/>
      <c r="L18" s="13"/>
    </row>
    <row r="19" customFormat="false" ht="15" hidden="false" customHeight="true" outlineLevel="0" collapsed="false">
      <c r="B19" s="12" t="s">
        <v>10</v>
      </c>
      <c r="C19" s="12"/>
      <c r="D19" s="13" t="s">
        <v>11</v>
      </c>
      <c r="E19" s="13"/>
      <c r="F19" s="13"/>
      <c r="G19" s="13"/>
      <c r="H19" s="13"/>
      <c r="I19" s="13"/>
      <c r="J19" s="13"/>
      <c r="K19" s="13"/>
      <c r="L19" s="13"/>
    </row>
    <row r="20" customFormat="false" ht="15" hidden="false" customHeight="true" outlineLevel="0" collapsed="false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customFormat="false" ht="16.5" hidden="false" customHeight="true" outlineLevel="0" collapsed="false">
      <c r="B21" s="14" t="s">
        <v>12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customFormat="false" ht="15" hidden="false" customHeight="true" outlineLevel="0" collapsed="false">
      <c r="B22" s="15" t="s">
        <v>13</v>
      </c>
      <c r="C22" s="15" t="s">
        <v>10</v>
      </c>
      <c r="D22" s="15"/>
      <c r="E22" s="15" t="s">
        <v>14</v>
      </c>
      <c r="F22" s="15"/>
      <c r="G22" s="15" t="s">
        <v>15</v>
      </c>
      <c r="H22" s="15"/>
      <c r="I22" s="15"/>
      <c r="J22" s="15" t="s">
        <v>16</v>
      </c>
      <c r="K22" s="15"/>
      <c r="L22" s="15"/>
    </row>
    <row r="23" s="16" customFormat="true" ht="15" hidden="false" customHeight="true" outlineLevel="0" collapsed="false">
      <c r="B23" s="17" t="n">
        <v>1</v>
      </c>
      <c r="C23" s="18" t="s">
        <v>17</v>
      </c>
      <c r="D23" s="18"/>
      <c r="E23" s="19" t="n">
        <v>46199</v>
      </c>
      <c r="F23" s="19"/>
      <c r="G23" s="18" t="s">
        <v>18</v>
      </c>
      <c r="H23" s="18"/>
      <c r="I23" s="18"/>
      <c r="J23" s="18" t="s">
        <v>19</v>
      </c>
      <c r="K23" s="18"/>
      <c r="L23" s="18"/>
    </row>
    <row r="24" customFormat="false" ht="15" hidden="false" customHeight="true" outlineLevel="0" collapsed="false">
      <c r="B24" s="17" t="n">
        <v>2</v>
      </c>
      <c r="C24" s="20"/>
      <c r="D24" s="20"/>
      <c r="E24" s="19"/>
      <c r="F24" s="19"/>
      <c r="G24" s="18"/>
      <c r="H24" s="18"/>
      <c r="I24" s="18"/>
      <c r="J24" s="21"/>
      <c r="K24" s="21"/>
      <c r="L24" s="21"/>
    </row>
    <row r="25" customFormat="false" ht="15" hidden="false" customHeight="true" outlineLevel="0" collapsed="false">
      <c r="B25" s="17" t="n">
        <v>3</v>
      </c>
      <c r="C25" s="20"/>
      <c r="D25" s="20"/>
      <c r="E25" s="19"/>
      <c r="F25" s="19"/>
      <c r="G25" s="18"/>
      <c r="H25" s="18"/>
      <c r="I25" s="18"/>
      <c r="J25" s="18"/>
      <c r="K25" s="18"/>
      <c r="L25" s="18"/>
    </row>
    <row r="26" customFormat="false" ht="15" hidden="false" customHeight="true" outlineLevel="0" collapsed="false">
      <c r="B26" s="17" t="n">
        <v>5</v>
      </c>
      <c r="C26" s="20"/>
      <c r="D26" s="20"/>
      <c r="E26" s="19"/>
      <c r="F26" s="19"/>
      <c r="G26" s="18"/>
      <c r="H26" s="18"/>
      <c r="I26" s="18"/>
      <c r="J26" s="21"/>
      <c r="K26" s="21"/>
      <c r="L26" s="21"/>
    </row>
    <row r="27" customFormat="false" ht="15" hidden="false" customHeight="true" outlineLevel="0" collapsed="false">
      <c r="B27" s="17" t="n">
        <v>6</v>
      </c>
      <c r="C27" s="20"/>
      <c r="D27" s="20"/>
      <c r="E27" s="19"/>
      <c r="F27" s="19"/>
      <c r="G27" s="18"/>
      <c r="H27" s="18"/>
      <c r="I27" s="18"/>
      <c r="J27" s="21"/>
      <c r="K27" s="21"/>
      <c r="L27" s="21"/>
    </row>
    <row r="28" customFormat="false" ht="15" hidden="false" customHeight="true" outlineLevel="0" collapsed="false">
      <c r="B28" s="17" t="n">
        <v>7</v>
      </c>
      <c r="C28" s="20"/>
      <c r="D28" s="20"/>
      <c r="E28" s="19"/>
      <c r="F28" s="19"/>
      <c r="G28" s="18"/>
      <c r="H28" s="18"/>
      <c r="I28" s="18"/>
      <c r="J28" s="21"/>
      <c r="K28" s="21"/>
      <c r="L28" s="21"/>
    </row>
    <row r="29" customFormat="false" ht="15" hidden="false" customHeight="true" outlineLevel="0" collapsed="false">
      <c r="B29" s="17" t="n">
        <v>8</v>
      </c>
      <c r="C29" s="20"/>
      <c r="D29" s="20"/>
      <c r="E29" s="19"/>
      <c r="F29" s="19"/>
      <c r="G29" s="18"/>
      <c r="H29" s="18"/>
      <c r="I29" s="18"/>
      <c r="J29" s="21"/>
      <c r="K29" s="21"/>
      <c r="L29" s="21"/>
    </row>
    <row r="30" customFormat="false" ht="15" hidden="false" customHeight="true" outlineLevel="0" collapsed="false">
      <c r="B30" s="17" t="n">
        <v>9</v>
      </c>
      <c r="C30" s="20"/>
      <c r="D30" s="20"/>
      <c r="E30" s="19"/>
      <c r="F30" s="19"/>
      <c r="G30" s="18"/>
      <c r="H30" s="18"/>
      <c r="I30" s="18"/>
      <c r="J30" s="21"/>
      <c r="K30" s="21"/>
      <c r="L30" s="21"/>
    </row>
    <row r="31" customFormat="false" ht="15" hidden="false" customHeight="true" outlineLevel="0" collapsed="false">
      <c r="B31" s="17" t="n">
        <v>10</v>
      </c>
      <c r="C31" s="20"/>
      <c r="D31" s="20"/>
      <c r="E31" s="19"/>
      <c r="F31" s="19"/>
      <c r="G31" s="18"/>
      <c r="H31" s="18"/>
      <c r="I31" s="18"/>
      <c r="J31" s="21"/>
      <c r="K31" s="21"/>
      <c r="L31" s="21"/>
    </row>
    <row r="32" customFormat="false" ht="15" hidden="false" customHeight="true" outlineLevel="0" collapsed="false"/>
  </sheetData>
  <mergeCells count="58">
    <mergeCell ref="B2:L2"/>
    <mergeCell ref="F3:L11"/>
    <mergeCell ref="B12:L12"/>
    <mergeCell ref="B13:L13"/>
    <mergeCell ref="B14:C14"/>
    <mergeCell ref="D14:L14"/>
    <mergeCell ref="B15:C15"/>
    <mergeCell ref="D15:L15"/>
    <mergeCell ref="B16:C16"/>
    <mergeCell ref="D16:L16"/>
    <mergeCell ref="B17:C17"/>
    <mergeCell ref="D17:L17"/>
    <mergeCell ref="B18:C18"/>
    <mergeCell ref="D18:L18"/>
    <mergeCell ref="B19:C19"/>
    <mergeCell ref="D19:L19"/>
    <mergeCell ref="B20:L20"/>
    <mergeCell ref="B21:L21"/>
    <mergeCell ref="C22:D22"/>
    <mergeCell ref="E22:F22"/>
    <mergeCell ref="G22:I22"/>
    <mergeCell ref="J22:L22"/>
    <mergeCell ref="C23:D23"/>
    <mergeCell ref="E23:F23"/>
    <mergeCell ref="G23:I23"/>
    <mergeCell ref="J23:L23"/>
    <mergeCell ref="C24:D24"/>
    <mergeCell ref="E24:F24"/>
    <mergeCell ref="G24:I24"/>
    <mergeCell ref="J24:L24"/>
    <mergeCell ref="C25:D25"/>
    <mergeCell ref="E25:F25"/>
    <mergeCell ref="G25:I25"/>
    <mergeCell ref="J25:L25"/>
    <mergeCell ref="C26:D26"/>
    <mergeCell ref="E26:F26"/>
    <mergeCell ref="G26:I26"/>
    <mergeCell ref="J26:L26"/>
    <mergeCell ref="C27:D27"/>
    <mergeCell ref="E27:F27"/>
    <mergeCell ref="G27:I27"/>
    <mergeCell ref="J27:L27"/>
    <mergeCell ref="C28:D28"/>
    <mergeCell ref="E28:F28"/>
    <mergeCell ref="G28:I28"/>
    <mergeCell ref="J28:L28"/>
    <mergeCell ref="C29:D29"/>
    <mergeCell ref="E29:F29"/>
    <mergeCell ref="G29:I29"/>
    <mergeCell ref="J29:L29"/>
    <mergeCell ref="C30:D30"/>
    <mergeCell ref="E30:F30"/>
    <mergeCell ref="G30:I30"/>
    <mergeCell ref="J30:L30"/>
    <mergeCell ref="C31:D31"/>
    <mergeCell ref="E31:F31"/>
    <mergeCell ref="G31:I31"/>
    <mergeCell ref="J31:L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2747"/>
    <pageSetUpPr fitToPage="false"/>
  </sheetPr>
  <dimension ref="A1:AA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3" min="2" style="1" width="12.5"/>
    <col collapsed="false" customWidth="true" hidden="false" outlineLevel="0" max="14" min="14" style="1" width="3"/>
  </cols>
  <sheetData>
    <row r="1" customFormat="false" ht="6" hidden="false" customHeight="tru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30" hidden="false" customHeight="true" outlineLevel="0" collapsed="false">
      <c r="A2" s="22"/>
      <c r="B2" s="24" t="s">
        <v>20</v>
      </c>
      <c r="C2" s="24"/>
      <c r="D2" s="24"/>
      <c r="E2" s="24"/>
      <c r="F2" s="24"/>
      <c r="G2" s="24"/>
      <c r="H2" s="24"/>
      <c r="I2" s="25" t="str">
        <f aca="true">"Last calculated:  "&amp;TEXT(NOW(),"dd mmm yyyy   hh:mm")</f>
        <v>Last calculated:  12 Aug 2026   10:34</v>
      </c>
      <c r="J2" s="25"/>
      <c r="K2" s="25"/>
      <c r="L2" s="25"/>
      <c r="M2" s="25"/>
      <c r="N2" s="22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customFormat="false" ht="19.5" hidden="false" customHeight="true" outlineLevel="0" collapsed="false">
      <c r="A3" s="22"/>
      <c r="B3" s="26" t="s">
        <v>21</v>
      </c>
      <c r="C3" s="26"/>
      <c r="D3" s="26"/>
      <c r="E3" s="26"/>
      <c r="F3" s="26"/>
      <c r="G3" s="26"/>
      <c r="H3" s="26"/>
      <c r="I3" s="25" t="s">
        <v>22</v>
      </c>
      <c r="J3" s="25"/>
      <c r="K3" s="25"/>
      <c r="L3" s="25"/>
      <c r="M3" s="25"/>
      <c r="N3" s="2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customFormat="false" ht="7.5" hidden="false" customHeight="true" outlineLevel="0" collapsed="false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customFormat="false" ht="15" hidden="false" customHeight="true" outlineLevel="0" collapsed="false">
      <c r="A5" s="22"/>
      <c r="B5" s="27" t="s">
        <v>23</v>
      </c>
      <c r="C5" s="27"/>
      <c r="D5" s="27"/>
      <c r="E5" s="27"/>
      <c r="F5" s="27" t="s">
        <v>24</v>
      </c>
      <c r="G5" s="27"/>
      <c r="H5" s="27"/>
      <c r="I5" s="27"/>
      <c r="J5" s="28" t="s">
        <v>25</v>
      </c>
      <c r="K5" s="28"/>
      <c r="L5" s="28"/>
      <c r="M5" s="28"/>
      <c r="N5" s="2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customFormat="false" ht="19.5" hidden="false" customHeight="true" outlineLevel="0" collapsed="false">
      <c r="A6" s="22"/>
      <c r="B6" s="29" t="s">
        <v>26</v>
      </c>
      <c r="C6" s="29"/>
      <c r="D6" s="29"/>
      <c r="E6" s="29"/>
      <c r="F6" s="29" t="s">
        <v>26</v>
      </c>
      <c r="G6" s="29"/>
      <c r="H6" s="29"/>
      <c r="I6" s="29"/>
      <c r="J6" s="22"/>
      <c r="K6" s="22"/>
      <c r="L6" s="22"/>
      <c r="M6" s="22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customFormat="false" ht="9.75" hidden="false" customHeight="tru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customFormat="false" ht="15" hidden="false" customHeight="true" outlineLevel="0" collapsed="false">
      <c r="A8" s="22"/>
      <c r="B8" s="30" t="s">
        <v>27</v>
      </c>
      <c r="C8" s="30"/>
      <c r="D8" s="30" t="s">
        <v>28</v>
      </c>
      <c r="E8" s="30"/>
      <c r="F8" s="30" t="s">
        <v>29</v>
      </c>
      <c r="G8" s="30"/>
      <c r="H8" s="30" t="s">
        <v>30</v>
      </c>
      <c r="I8" s="30"/>
      <c r="J8" s="30" t="s">
        <v>31</v>
      </c>
      <c r="K8" s="30"/>
      <c r="L8" s="31" t="s">
        <v>32</v>
      </c>
      <c r="M8" s="31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customFormat="false" ht="6" hidden="false" customHeight="true" outlineLevel="0" collapsed="false">
      <c r="A9" s="22"/>
      <c r="B9" s="32"/>
      <c r="C9" s="33"/>
      <c r="D9" s="32"/>
      <c r="E9" s="33"/>
      <c r="F9" s="32"/>
      <c r="G9" s="33"/>
      <c r="H9" s="32"/>
      <c r="I9" s="33"/>
      <c r="J9" s="32"/>
      <c r="K9" s="33"/>
      <c r="L9" s="32"/>
      <c r="M9" s="3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customFormat="false" ht="13.5" hidden="false" customHeight="true" outlineLevel="0" collapsed="false">
      <c r="A10" s="22"/>
      <c r="B10" s="34" t="n">
        <f aca="false">'Dashboard Data'!B3</f>
        <v>13</v>
      </c>
      <c r="C10" s="34"/>
      <c r="D10" s="35" t="n">
        <f aca="false">'Dashboard Data'!B4</f>
        <v>0.976923076923077</v>
      </c>
      <c r="E10" s="35"/>
      <c r="F10" s="36" t="n">
        <f aca="false">'Dashboard Data'!B5</f>
        <v>12</v>
      </c>
      <c r="G10" s="36"/>
      <c r="H10" s="37" t="n">
        <f aca="false">'Dashboard Data'!B6</f>
        <v>1</v>
      </c>
      <c r="I10" s="37"/>
      <c r="J10" s="38" t="n">
        <f aca="false">'Dashboard Data'!B7</f>
        <v>0</v>
      </c>
      <c r="K10" s="38"/>
      <c r="L10" s="39" t="n">
        <f aca="false">'Dashboard Data'!B8</f>
        <v>12</v>
      </c>
      <c r="M10" s="39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customFormat="false" ht="13.5" hidden="false" customHeight="true" outlineLevel="0" collapsed="false">
      <c r="A11" s="22"/>
      <c r="B11" s="34"/>
      <c r="C11" s="34"/>
      <c r="D11" s="35"/>
      <c r="E11" s="35"/>
      <c r="F11" s="36"/>
      <c r="G11" s="36"/>
      <c r="H11" s="37"/>
      <c r="I11" s="37"/>
      <c r="J11" s="38"/>
      <c r="K11" s="38"/>
      <c r="L11" s="39"/>
      <c r="M11" s="39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customFormat="false" ht="13.5" hidden="false" customHeight="true" outlineLevel="0" collapsed="false">
      <c r="A12" s="22"/>
      <c r="B12" s="34"/>
      <c r="C12" s="34"/>
      <c r="D12" s="35"/>
      <c r="E12" s="35"/>
      <c r="F12" s="36"/>
      <c r="G12" s="36"/>
      <c r="H12" s="37"/>
      <c r="I12" s="37"/>
      <c r="J12" s="38"/>
      <c r="K12" s="38"/>
      <c r="L12" s="39"/>
      <c r="M12" s="39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customFormat="false" ht="9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customFormat="false" ht="1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customFormat="false" ht="1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customFormat="false" ht="1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customFormat="false" ht="1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customFormat="false" ht="1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customFormat="false" ht="1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customFormat="false" ht="1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customFormat="false" ht="1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customFormat="false" ht="1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customFormat="false" ht="1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customFormat="false" ht="1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customFormat="false" ht="1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customFormat="false" ht="1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customFormat="false" ht="1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customFormat="false" ht="1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customFormat="false" ht="1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customFormat="false" ht="9.75" hidden="false" customHeight="tru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customFormat="false" ht="1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customFormat="false" ht="1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customFormat="false" ht="1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customFormat="false" ht="1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customFormat="false" ht="1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customFormat="false" ht="1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customFormat="false" ht="1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customFormat="false" ht="1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customFormat="false" ht="1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customFormat="false" ht="1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customFormat="false" ht="1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customFormat="false" ht="1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customFormat="false" ht="1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customFormat="false" ht="1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customFormat="false" ht="1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customFormat="false" ht="1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customFormat="false" ht="9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customFormat="false" ht="3.75" hidden="false" customHeight="true" outlineLevel="0" collapsed="false">
      <c r="A48" s="22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22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customFormat="false" ht="18" hidden="false" customHeight="true" outlineLevel="0" collapsed="false">
      <c r="A49" s="22"/>
      <c r="B49" s="41" t="str">
        <f aca="false">Introduction!D14&amp;"   |   FRTR KPI Monitoring   "&amp;Introduction!D19&amp;"   |   Classification: Confidential   |   Prepared by: "&amp;Introduction!D16</f>
        <v>BETACODES   |   FRTR KPI Monitoring   V 1.0   |   Classification: Confidential   |   Prepared by: BETACODES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22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customFormat="false" ht="6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customFormat="false" ht="1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customFormat="false" ht="1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customFormat="false" ht="15" hidden="false" customHeight="fals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customFormat="false" ht="15" hidden="false" customHeight="fals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customFormat="false" ht="15" hidden="false" customHeight="fals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customFormat="false" ht="15" hidden="false" customHeight="fals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customFormat="false" ht="15" hidden="false" customHeight="fals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customFormat="false" ht="15" hidden="false" customHeight="fals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customFormat="false" ht="15" hidden="false" customHeight="fals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customFormat="false" ht="15" hidden="false" customHeight="fals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customFormat="false" ht="15" hidden="false" customHeight="fals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customFormat="false" ht="15" hidden="false" customHeight="fals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customFormat="false" ht="15" hidden="false" customHeight="fals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customFormat="false" ht="15" hidden="false" customHeight="fals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customFormat="false" ht="15" hidden="false" customHeight="fals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customFormat="false" ht="15" hidden="false" customHeight="fals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customFormat="false" ht="15" hidden="false" customHeight="fals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customFormat="false" ht="15" hidden="false" customHeight="fals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customFormat="false" ht="15" hidden="false" customHeight="false" outlineLevel="0" collapsed="false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customFormat="false" ht="15" hidden="false" customHeight="fals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customFormat="false" ht="15" hidden="false" customHeight="false" outlineLevel="0" collapsed="false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customFormat="false" ht="15" hidden="false" customHeight="fals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customFormat="false" ht="15" hidden="false" customHeight="false" outlineLevel="0" collapsed="false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customFormat="false" ht="15" hidden="false" customHeight="fals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customFormat="false" ht="15" hidden="false" customHeight="false" outlineLevel="0" collapsed="false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customFormat="false" ht="15" hidden="false" customHeight="fals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customFormat="false" ht="15" hidden="false" customHeight="false" outlineLevel="0" collapsed="false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customFormat="false" ht="15" hidden="false" customHeight="fals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customFormat="false" ht="15" hidden="false" customHeight="false" outlineLevel="0" collapsed="false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customFormat="false" ht="15" hidden="false" customHeight="fals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customFormat="false" ht="15" hidden="false" customHeight="false" outlineLevel="0" collapsed="false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customFormat="false" ht="15" hidden="false" customHeight="fals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customFormat="false" ht="15" hidden="false" customHeight="false" outlineLevel="0" collapsed="false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customFormat="false" ht="15" hidden="false" customHeight="fals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customFormat="false" ht="15" hidden="false" customHeight="false" outlineLevel="0" collapsed="false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customFormat="false" ht="15" hidden="false" customHeight="fals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customFormat="false" ht="15" hidden="false" customHeight="false" outlineLevel="0" collapsed="false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customFormat="false" ht="15" hidden="false" customHeight="fals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customFormat="false" ht="15" hidden="false" customHeight="false" outlineLevel="0" collapsed="false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customFormat="false" ht="15" hidden="false" customHeight="fals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customFormat="false" ht="15" hidden="false" customHeight="false" outlineLevel="0" collapsed="false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customFormat="false" ht="15" hidden="false" customHeight="fals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customFormat="false" ht="15" hidden="false" customHeight="false" outlineLevel="0" collapsed="false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customFormat="false" ht="15" hidden="false" customHeight="fals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customFormat="false" ht="15" hidden="false" customHeight="false" outlineLevel="0" collapsed="false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customFormat="false" ht="15" hidden="false" customHeight="fals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customFormat="false" ht="15" hidden="false" customHeight="false" outlineLevel="0" collapsed="false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customFormat="false" ht="15" hidden="false" customHeight="fals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customFormat="false" ht="15" hidden="false" customHeight="false" outlineLevel="0" collapsed="false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customFormat="false" ht="15" hidden="false" customHeight="fals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customFormat="false" ht="15" hidden="false" customHeight="false" outlineLevel="0" collapsed="false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customFormat="false" ht="15" hidden="false" customHeight="fals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customFormat="false" ht="15" hidden="false" customHeight="false" outlineLevel="0" collapsed="false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customFormat="false" ht="15" hidden="false" customHeight="fals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customFormat="false" ht="15" hidden="false" customHeight="false" outlineLevel="0" collapsed="false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customFormat="false" ht="15" hidden="false" customHeight="fals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customFormat="false" ht="15" hidden="false" customHeight="false" outlineLevel="0" collapsed="false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customFormat="false" ht="15" hidden="false" customHeight="fals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customFormat="false" ht="15" hidden="false" customHeight="false" outlineLevel="0" collapsed="false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customFormat="false" ht="15" hidden="false" customHeight="fals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customFormat="false" ht="15" hidden="false" customHeight="false" outlineLevel="0" collapsed="false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customFormat="false" ht="15" hidden="false" customHeight="fals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customFormat="false" ht="15" hidden="false" customHeight="false" outlineLevel="0" collapsed="false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customFormat="false" ht="15" hidden="false" customHeight="fals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customFormat="false" ht="15" hidden="false" customHeight="false" outlineLevel="0" collapsed="false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customFormat="false" ht="15" hidden="false" customHeight="fals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customFormat="false" ht="15" hidden="false" customHeight="false" outlineLevel="0" collapsed="false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customFormat="false" ht="15" hidden="false" customHeight="fals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customFormat="false" ht="15" hidden="false" customHeight="false" outlineLevel="0" collapsed="false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customFormat="false" ht="15" hidden="false" customHeight="fals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customFormat="false" ht="15" hidden="false" customHeight="false" outlineLevel="0" collapsed="false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customFormat="false" ht="15" hidden="false" customHeight="fals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customFormat="false" ht="15" hidden="false" customHeight="false" outlineLevel="0" collapsed="false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customFormat="false" ht="15" hidden="false" customHeight="fals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customFormat="false" ht="15" hidden="false" customHeight="false" outlineLevel="0" collapsed="false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customFormat="false" ht="15" hidden="false" customHeight="fals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customFormat="false" ht="15" hidden="false" customHeight="false" outlineLevel="0" collapsed="false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customFormat="false" ht="15" hidden="false" customHeight="fals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customFormat="false" ht="15" hidden="false" customHeight="false" outlineLevel="0" collapsed="false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customFormat="false" ht="15" hidden="false" customHeight="fals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customFormat="false" ht="15" hidden="false" customHeight="false" outlineLevel="0" collapsed="false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customFormat="false" ht="15" hidden="false" customHeight="fals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customFormat="false" ht="15" hidden="false" customHeight="false" outlineLevel="0" collapsed="false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customFormat="false" ht="15" hidden="false" customHeight="fals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customFormat="false" ht="15" hidden="false" customHeight="false" outlineLevel="0" collapsed="false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customFormat="false" ht="15" hidden="false" customHeight="fals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customFormat="false" ht="15" hidden="false" customHeight="false" outlineLevel="0" collapsed="false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customFormat="false" ht="15" hidden="false" customHeight="fals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customFormat="false" ht="15" hidden="false" customHeight="false" outlineLevel="0" collapsed="false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customFormat="false" ht="15" hidden="false" customHeight="fals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customFormat="false" ht="15" hidden="false" customHeight="false" outlineLevel="0" collapsed="false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customFormat="false" ht="15" hidden="false" customHeight="fals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customFormat="false" ht="15" hidden="false" customHeight="false" outlineLevel="0" collapsed="false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customFormat="false" ht="15" hidden="false" customHeight="fals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customFormat="false" ht="15" hidden="false" customHeight="false" outlineLevel="0" collapsed="false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customFormat="false" ht="15" hidden="false" customHeight="fals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customFormat="false" ht="15" hidden="false" customHeight="false" outlineLevel="0" collapsed="false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customFormat="false" ht="15" hidden="false" customHeight="fals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customFormat="false" ht="15" hidden="false" customHeight="false" outlineLevel="0" collapsed="false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customFormat="false" ht="15" hidden="false" customHeight="fals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customFormat="false" ht="15" hidden="false" customHeight="false" outlineLevel="0" collapsed="false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customFormat="false" ht="15" hidden="false" customHeight="fals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customFormat="false" ht="15" hidden="false" customHeight="false" outlineLevel="0" collapsed="false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customFormat="false" ht="15" hidden="false" customHeight="fals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customFormat="false" ht="15" hidden="false" customHeight="false" outlineLevel="0" collapsed="false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customFormat="false" ht="15" hidden="false" customHeight="fals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customFormat="false" ht="15" hidden="false" customHeight="false" outlineLevel="0" collapsed="false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customFormat="false" ht="15" hidden="false" customHeight="fals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customFormat="false" ht="15" hidden="false" customHeight="false" outlineLevel="0" collapsed="false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customFormat="false" ht="15" hidden="false" customHeight="fals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customFormat="false" ht="15" hidden="false" customHeight="false" outlineLevel="0" collapsed="false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customFormat="false" ht="15" hidden="false" customHeight="fals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customFormat="false" ht="15" hidden="false" customHeight="false" outlineLevel="0" collapsed="false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customFormat="false" ht="15" hidden="false" customHeight="fals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customFormat="false" ht="15" hidden="false" customHeight="false" outlineLevel="0" collapsed="false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customFormat="false" ht="15" hidden="false" customHeight="fals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customFormat="false" ht="15" hidden="false" customHeight="false" outlineLevel="0" collapsed="false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customFormat="false" ht="15" hidden="false" customHeight="fals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customFormat="false" ht="15" hidden="false" customHeight="fals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customFormat="false" ht="15" hidden="false" customHeight="fals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customFormat="false" ht="15" hidden="false" customHeight="fals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customFormat="false" ht="15" hidden="false" customHeight="fals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customFormat="false" ht="15" hidden="false" customHeight="fals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customFormat="false" ht="15" hidden="false" customHeight="fals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</sheetData>
  <mergeCells count="22">
    <mergeCell ref="B2:H2"/>
    <mergeCell ref="I2:M2"/>
    <mergeCell ref="B3:H3"/>
    <mergeCell ref="I3:M3"/>
    <mergeCell ref="B5:E5"/>
    <mergeCell ref="F5:I5"/>
    <mergeCell ref="J5:M5"/>
    <mergeCell ref="B6:E6"/>
    <mergeCell ref="F6:I6"/>
    <mergeCell ref="B8:C8"/>
    <mergeCell ref="D8:E8"/>
    <mergeCell ref="F8:G8"/>
    <mergeCell ref="H8:I8"/>
    <mergeCell ref="J8:K8"/>
    <mergeCell ref="L8:M8"/>
    <mergeCell ref="B10:C12"/>
    <mergeCell ref="D10:E12"/>
    <mergeCell ref="F10:G12"/>
    <mergeCell ref="H10:I12"/>
    <mergeCell ref="J10:K12"/>
    <mergeCell ref="L10:M12"/>
    <mergeCell ref="B49:M49"/>
  </mergeCells>
  <dataValidations count="2">
    <dataValidation allowBlank="false" errorStyle="stop" operator="between" showDropDown="false" showErrorMessage="false" showInputMessage="false" sqref="B6" type="list">
      <formula1>'Lookup Lists'!$D$2:$D$6</formula1>
      <formula2>0</formula2>
    </dataValidation>
    <dataValidation allowBlank="false" errorStyle="stop" operator="between" showDropDown="false" showErrorMessage="false" showInputMessage="false" sqref="F6" type="list">
      <formula1>'Lookup Lists'!$E$2:$E$8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6" min="5" style="1" width="42"/>
    <col collapsed="false" customWidth="true" hidden="false" outlineLevel="0" max="7" min="7" style="1" width="16"/>
    <col collapsed="false" customWidth="true" hidden="false" outlineLevel="0" max="8" min="8" style="1" width="24"/>
    <col collapsed="false" customWidth="true" hidden="false" outlineLevel="0" max="11" min="9" style="1" width="12"/>
    <col collapsed="false" customWidth="true" hidden="false" outlineLevel="0" max="13" min="12" style="1" width="15"/>
  </cols>
  <sheetData>
    <row r="1" customFormat="false" ht="33.75" hidden="false" customHeight="true" outlineLevel="0" collapsed="false">
      <c r="A1" s="42" t="s">
        <v>33</v>
      </c>
      <c r="B1" s="42" t="s">
        <v>34</v>
      </c>
      <c r="C1" s="42" t="s">
        <v>35</v>
      </c>
      <c r="D1" s="42" t="s">
        <v>36</v>
      </c>
      <c r="E1" s="42" t="s">
        <v>37</v>
      </c>
      <c r="F1" s="42" t="s">
        <v>38</v>
      </c>
      <c r="G1" s="42" t="s">
        <v>39</v>
      </c>
      <c r="H1" s="42" t="s">
        <v>40</v>
      </c>
      <c r="I1" s="42" t="s">
        <v>41</v>
      </c>
      <c r="J1" s="42" t="s">
        <v>42</v>
      </c>
      <c r="K1" s="42" t="s">
        <v>43</v>
      </c>
      <c r="L1" s="42" t="s">
        <v>44</v>
      </c>
      <c r="M1" s="42" t="s">
        <v>45</v>
      </c>
    </row>
    <row r="2" customFormat="false" ht="30" hidden="false" customHeight="true" outlineLevel="0" collapsed="false">
      <c r="A2" s="43" t="n">
        <v>1</v>
      </c>
      <c r="B2" s="44" t="s">
        <v>46</v>
      </c>
      <c r="C2" s="44" t="s">
        <v>47</v>
      </c>
      <c r="D2" s="44" t="s">
        <v>48</v>
      </c>
      <c r="E2" s="44" t="s">
        <v>49</v>
      </c>
      <c r="F2" s="44" t="s">
        <v>50</v>
      </c>
      <c r="G2" s="44" t="s">
        <v>51</v>
      </c>
      <c r="H2" s="44" t="s">
        <v>52</v>
      </c>
      <c r="I2" s="43" t="n">
        <v>70</v>
      </c>
      <c r="J2" s="43" t="n">
        <v>70</v>
      </c>
      <c r="K2" s="45" t="n">
        <f aca="false">IFERROR(I2/J2,0)</f>
        <v>1</v>
      </c>
      <c r="L2" s="44" t="str">
        <f aca="false">IF(K2&lt;=60%,"Needs Attention",IF(K2&lt;=85%,"Moderate","Strong"))</f>
        <v>Strong</v>
      </c>
      <c r="M2" s="44" t="str">
        <f aca="false">IF(K2&gt;=100%,"Achieved",IF(K2&gt;=50%,"In Progress","Not Achieved"))</f>
        <v>Achieved</v>
      </c>
    </row>
    <row r="3" customFormat="false" ht="30" hidden="false" customHeight="true" outlineLevel="0" collapsed="false">
      <c r="A3" s="43" t="n">
        <v>2</v>
      </c>
      <c r="B3" s="44" t="s">
        <v>53</v>
      </c>
      <c r="C3" s="44" t="s">
        <v>54</v>
      </c>
      <c r="D3" s="44" t="s">
        <v>55</v>
      </c>
      <c r="E3" s="44" t="s">
        <v>56</v>
      </c>
      <c r="F3" s="44" t="s">
        <v>57</v>
      </c>
      <c r="G3" s="44" t="s">
        <v>58</v>
      </c>
      <c r="H3" s="44" t="s">
        <v>59</v>
      </c>
      <c r="I3" s="43" t="n">
        <v>10</v>
      </c>
      <c r="J3" s="43" t="n">
        <v>10</v>
      </c>
      <c r="K3" s="45" t="n">
        <f aca="false">IFERROR(I3/J3,0)</f>
        <v>1</v>
      </c>
      <c r="L3" s="44" t="str">
        <f aca="false">IF(K3&lt;=60%,"Needs Attention",IF(K3&lt;=85%,"Moderate","Strong"))</f>
        <v>Strong</v>
      </c>
      <c r="M3" s="44" t="str">
        <f aca="false">IF(K3&gt;=100%,"Achieved",IF(K3&gt;=50%,"In Progress","Not Achieved"))</f>
        <v>Achieved</v>
      </c>
    </row>
    <row r="4" customFormat="false" ht="30" hidden="false" customHeight="true" outlineLevel="0" collapsed="false">
      <c r="A4" s="43" t="n">
        <v>3</v>
      </c>
      <c r="B4" s="44" t="s">
        <v>53</v>
      </c>
      <c r="C4" s="44" t="s">
        <v>54</v>
      </c>
      <c r="D4" s="44" t="s">
        <v>60</v>
      </c>
      <c r="E4" s="44" t="s">
        <v>61</v>
      </c>
      <c r="F4" s="44" t="s">
        <v>62</v>
      </c>
      <c r="G4" s="44" t="s">
        <v>58</v>
      </c>
      <c r="H4" s="44" t="s">
        <v>59</v>
      </c>
      <c r="I4" s="43" t="n">
        <v>7</v>
      </c>
      <c r="J4" s="43" t="n">
        <v>10</v>
      </c>
      <c r="K4" s="45" t="n">
        <f aca="false">IFERROR(I4/J4,0)</f>
        <v>0.7</v>
      </c>
      <c r="L4" s="44" t="str">
        <f aca="false">IF(K4&lt;=60%,"Needs Attention",IF(K4&lt;=85%,"Moderate","Strong"))</f>
        <v>Moderate</v>
      </c>
      <c r="M4" s="44" t="str">
        <f aca="false">IF(K4&gt;=100%,"Achieved",IF(K4&gt;=50%,"In Progress","Not Achieved"))</f>
        <v>In Progress</v>
      </c>
    </row>
    <row r="5" customFormat="false" ht="30" hidden="false" customHeight="true" outlineLevel="0" collapsed="false">
      <c r="A5" s="43" t="n">
        <v>4</v>
      </c>
      <c r="B5" s="44" t="s">
        <v>46</v>
      </c>
      <c r="C5" s="44" t="s">
        <v>63</v>
      </c>
      <c r="D5" s="44" t="s">
        <v>64</v>
      </c>
      <c r="E5" s="44" t="s">
        <v>65</v>
      </c>
      <c r="F5" s="44" t="s">
        <v>66</v>
      </c>
      <c r="G5" s="44" t="s">
        <v>51</v>
      </c>
      <c r="H5" s="44" t="s">
        <v>67</v>
      </c>
      <c r="I5" s="43" t="n">
        <v>1</v>
      </c>
      <c r="J5" s="43" t="n">
        <v>1</v>
      </c>
      <c r="K5" s="45" t="n">
        <f aca="false">IFERROR(I5/J5,0)</f>
        <v>1</v>
      </c>
      <c r="L5" s="44" t="str">
        <f aca="false">IF(K5&lt;=60%,"Needs Attention",IF(K5&lt;=85%,"Moderate","Strong"))</f>
        <v>Strong</v>
      </c>
      <c r="M5" s="44" t="str">
        <f aca="false">IF(K5&gt;=100%,"Achieved",IF(K5&gt;=50%,"In Progress","Not Achieved"))</f>
        <v>Achieved</v>
      </c>
    </row>
    <row r="6" customFormat="false" ht="30" hidden="false" customHeight="true" outlineLevel="0" collapsed="false">
      <c r="A6" s="43" t="n">
        <v>5</v>
      </c>
      <c r="B6" s="44" t="s">
        <v>68</v>
      </c>
      <c r="C6" s="44" t="s">
        <v>63</v>
      </c>
      <c r="D6" s="44" t="s">
        <v>69</v>
      </c>
      <c r="E6" s="44" t="s">
        <v>70</v>
      </c>
      <c r="F6" s="44" t="s">
        <v>71</v>
      </c>
      <c r="G6" s="44" t="s">
        <v>51</v>
      </c>
      <c r="H6" s="44" t="s">
        <v>72</v>
      </c>
      <c r="I6" s="43" t="n">
        <v>1</v>
      </c>
      <c r="J6" s="43" t="n">
        <v>1</v>
      </c>
      <c r="K6" s="45" t="n">
        <f aca="false">IFERROR(I6/J6,0)</f>
        <v>1</v>
      </c>
      <c r="L6" s="44" t="str">
        <f aca="false">IF(K6&lt;=60%,"Needs Attention",IF(K6&lt;=85%,"Moderate","Strong"))</f>
        <v>Strong</v>
      </c>
      <c r="M6" s="44" t="str">
        <f aca="false">IF(K6&gt;=100%,"Achieved",IF(K6&gt;=50%,"In Progress","Not Achieved"))</f>
        <v>Achieved</v>
      </c>
    </row>
    <row r="7" customFormat="false" ht="30" hidden="false" customHeight="true" outlineLevel="0" collapsed="false">
      <c r="A7" s="43" t="n">
        <v>6</v>
      </c>
      <c r="B7" s="44" t="s">
        <v>73</v>
      </c>
      <c r="C7" s="44" t="s">
        <v>74</v>
      </c>
      <c r="D7" s="44" t="s">
        <v>75</v>
      </c>
      <c r="E7" s="44" t="s">
        <v>76</v>
      </c>
      <c r="F7" s="44" t="s">
        <v>77</v>
      </c>
      <c r="G7" s="44" t="s">
        <v>78</v>
      </c>
      <c r="H7" s="44" t="s">
        <v>79</v>
      </c>
      <c r="I7" s="43" t="n">
        <v>1</v>
      </c>
      <c r="J7" s="43" t="n">
        <v>1</v>
      </c>
      <c r="K7" s="45" t="n">
        <f aca="false">IFERROR(I7/J7,0)</f>
        <v>1</v>
      </c>
      <c r="L7" s="44" t="str">
        <f aca="false">IF(K7&lt;=60%,"Needs Attention",IF(K7&lt;=85%,"Moderate","Strong"))</f>
        <v>Strong</v>
      </c>
      <c r="M7" s="44" t="str">
        <f aca="false">IF(K7&gt;=100%,"Achieved",IF(K7&gt;=50%,"In Progress","Not Achieved"))</f>
        <v>Achieved</v>
      </c>
    </row>
    <row r="8" customFormat="false" ht="30" hidden="false" customHeight="true" outlineLevel="0" collapsed="false">
      <c r="A8" s="43" t="n">
        <v>7</v>
      </c>
      <c r="B8" s="44" t="s">
        <v>73</v>
      </c>
      <c r="C8" s="44" t="s">
        <v>74</v>
      </c>
      <c r="D8" s="44" t="s">
        <v>80</v>
      </c>
      <c r="E8" s="44" t="s">
        <v>81</v>
      </c>
      <c r="F8" s="44" t="s">
        <v>77</v>
      </c>
      <c r="G8" s="44" t="s">
        <v>78</v>
      </c>
      <c r="H8" s="44" t="s">
        <v>79</v>
      </c>
      <c r="I8" s="43" t="n">
        <v>1</v>
      </c>
      <c r="J8" s="43" t="n">
        <v>1</v>
      </c>
      <c r="K8" s="45" t="n">
        <f aca="false">IFERROR(I8/J8,0)</f>
        <v>1</v>
      </c>
      <c r="L8" s="44" t="str">
        <f aca="false">IF(K8&lt;=60%,"Needs Attention",IF(K8&lt;=85%,"Moderate","Strong"))</f>
        <v>Strong</v>
      </c>
      <c r="M8" s="44" t="str">
        <f aca="false">IF(K8&gt;=100%,"Achieved",IF(K8&gt;=50%,"In Progress","Not Achieved"))</f>
        <v>Achieved</v>
      </c>
    </row>
    <row r="9" customFormat="false" ht="30" hidden="false" customHeight="true" outlineLevel="0" collapsed="false">
      <c r="A9" s="43" t="n">
        <v>8</v>
      </c>
      <c r="B9" s="44" t="s">
        <v>53</v>
      </c>
      <c r="C9" s="44" t="s">
        <v>82</v>
      </c>
      <c r="D9" s="44" t="s">
        <v>83</v>
      </c>
      <c r="E9" s="44" t="s">
        <v>84</v>
      </c>
      <c r="F9" s="44" t="s">
        <v>85</v>
      </c>
      <c r="G9" s="44" t="s">
        <v>51</v>
      </c>
      <c r="H9" s="44" t="s">
        <v>86</v>
      </c>
      <c r="I9" s="43" t="n">
        <v>1</v>
      </c>
      <c r="J9" s="43" t="n">
        <v>1</v>
      </c>
      <c r="K9" s="45" t="n">
        <f aca="false">IFERROR(I9/J9,0)</f>
        <v>1</v>
      </c>
      <c r="L9" s="44" t="str">
        <f aca="false">IF(K9&lt;=60%,"Needs Attention",IF(K9&lt;=85%,"Moderate","Strong"))</f>
        <v>Strong</v>
      </c>
      <c r="M9" s="44" t="str">
        <f aca="false">IF(K9&gt;=100%,"Achieved",IF(K9&gt;=50%,"In Progress","Not Achieved"))</f>
        <v>Achieved</v>
      </c>
    </row>
    <row r="10" customFormat="false" ht="30" hidden="false" customHeight="true" outlineLevel="0" collapsed="false">
      <c r="A10" s="43" t="n">
        <v>9</v>
      </c>
      <c r="B10" s="44" t="s">
        <v>53</v>
      </c>
      <c r="C10" s="44" t="s">
        <v>82</v>
      </c>
      <c r="D10" s="44" t="s">
        <v>87</v>
      </c>
      <c r="E10" s="44" t="s">
        <v>88</v>
      </c>
      <c r="F10" s="44" t="s">
        <v>85</v>
      </c>
      <c r="G10" s="44" t="s">
        <v>51</v>
      </c>
      <c r="H10" s="44" t="s">
        <v>86</v>
      </c>
      <c r="I10" s="43" t="n">
        <v>1</v>
      </c>
      <c r="J10" s="43" t="n">
        <v>1</v>
      </c>
      <c r="K10" s="45" t="n">
        <f aca="false">IFERROR(I10/J10,0)</f>
        <v>1</v>
      </c>
      <c r="L10" s="44" t="str">
        <f aca="false">IF(K10&lt;=60%,"Needs Attention",IF(K10&lt;=85%,"Moderate","Strong"))</f>
        <v>Strong</v>
      </c>
      <c r="M10" s="44" t="str">
        <f aca="false">IF(K10&gt;=100%,"Achieved",IF(K10&gt;=50%,"In Progress","Not Achieved"))</f>
        <v>Achieved</v>
      </c>
    </row>
    <row r="11" customFormat="false" ht="30" hidden="false" customHeight="true" outlineLevel="0" collapsed="false">
      <c r="A11" s="43" t="n">
        <v>10</v>
      </c>
      <c r="B11" s="44" t="s">
        <v>73</v>
      </c>
      <c r="C11" s="44" t="s">
        <v>82</v>
      </c>
      <c r="D11" s="44" t="s">
        <v>89</v>
      </c>
      <c r="E11" s="44" t="s">
        <v>90</v>
      </c>
      <c r="F11" s="44" t="s">
        <v>91</v>
      </c>
      <c r="G11" s="44" t="s">
        <v>51</v>
      </c>
      <c r="H11" s="44" t="s">
        <v>92</v>
      </c>
      <c r="I11" s="43" t="n">
        <v>1</v>
      </c>
      <c r="J11" s="43" t="n">
        <v>1</v>
      </c>
      <c r="K11" s="45" t="n">
        <f aca="false">IFERROR(I11/J11,0)</f>
        <v>1</v>
      </c>
      <c r="L11" s="44" t="str">
        <f aca="false">IF(K11&lt;=60%,"Needs Attention",IF(K11&lt;=85%,"Moderate","Strong"))</f>
        <v>Strong</v>
      </c>
      <c r="M11" s="44" t="str">
        <f aca="false">IF(K11&gt;=100%,"Achieved",IF(K11&gt;=50%,"In Progress","Not Achieved"))</f>
        <v>Achieved</v>
      </c>
    </row>
    <row r="12" customFormat="false" ht="30" hidden="false" customHeight="true" outlineLevel="0" collapsed="false">
      <c r="A12" s="43" t="n">
        <v>11</v>
      </c>
      <c r="B12" s="44" t="s">
        <v>73</v>
      </c>
      <c r="C12" s="44" t="s">
        <v>82</v>
      </c>
      <c r="D12" s="44" t="s">
        <v>93</v>
      </c>
      <c r="E12" s="44" t="s">
        <v>94</v>
      </c>
      <c r="F12" s="44" t="s">
        <v>91</v>
      </c>
      <c r="G12" s="44" t="s">
        <v>51</v>
      </c>
      <c r="H12" s="44" t="s">
        <v>92</v>
      </c>
      <c r="I12" s="43" t="n">
        <v>1</v>
      </c>
      <c r="J12" s="43" t="n">
        <v>1</v>
      </c>
      <c r="K12" s="45" t="n">
        <f aca="false">IFERROR(I12/J12,0)</f>
        <v>1</v>
      </c>
      <c r="L12" s="44" t="str">
        <f aca="false">IF(K12&lt;=60%,"Needs Attention",IF(K12&lt;=85%,"Moderate","Strong"))</f>
        <v>Strong</v>
      </c>
      <c r="M12" s="44" t="str">
        <f aca="false">IF(K12&gt;=100%,"Achieved",IF(K12&gt;=50%,"In Progress","Not Achieved"))</f>
        <v>Achieved</v>
      </c>
    </row>
    <row r="13" customFormat="false" ht="30" hidden="false" customHeight="true" outlineLevel="0" collapsed="false">
      <c r="A13" s="43" t="n">
        <v>12</v>
      </c>
      <c r="B13" s="44" t="s">
        <v>68</v>
      </c>
      <c r="C13" s="44" t="s">
        <v>95</v>
      </c>
      <c r="D13" s="44" t="s">
        <v>96</v>
      </c>
      <c r="E13" s="44" t="s">
        <v>97</v>
      </c>
      <c r="F13" s="44" t="s">
        <v>98</v>
      </c>
      <c r="G13" s="44" t="s">
        <v>99</v>
      </c>
      <c r="H13" s="44" t="s">
        <v>100</v>
      </c>
      <c r="I13" s="43" t="n">
        <v>2</v>
      </c>
      <c r="J13" s="43" t="n">
        <v>2</v>
      </c>
      <c r="K13" s="45" t="n">
        <f aca="false">IFERROR(I13/J13,0)</f>
        <v>1</v>
      </c>
      <c r="L13" s="44" t="str">
        <f aca="false">IF(K13&lt;=60%,"Needs Attention",IF(K13&lt;=85%,"Moderate","Strong"))</f>
        <v>Strong</v>
      </c>
      <c r="M13" s="44" t="str">
        <f aca="false">IF(K13&gt;=100%,"Achieved",IF(K13&gt;=50%,"In Progress","Not Achieved"))</f>
        <v>Achieved</v>
      </c>
    </row>
    <row r="14" customFormat="false" ht="30" hidden="false" customHeight="true" outlineLevel="0" collapsed="false">
      <c r="A14" s="43" t="n">
        <v>13</v>
      </c>
      <c r="B14" s="44" t="s">
        <v>68</v>
      </c>
      <c r="C14" s="44" t="s">
        <v>95</v>
      </c>
      <c r="D14" s="44" t="s">
        <v>101</v>
      </c>
      <c r="E14" s="44" t="s">
        <v>102</v>
      </c>
      <c r="F14" s="44" t="s">
        <v>98</v>
      </c>
      <c r="G14" s="44" t="s">
        <v>99</v>
      </c>
      <c r="H14" s="44" t="s">
        <v>100</v>
      </c>
      <c r="I14" s="43" t="n">
        <v>1</v>
      </c>
      <c r="J14" s="43" t="n">
        <v>1</v>
      </c>
      <c r="K14" s="45" t="n">
        <f aca="false">IFERROR(I14/J14,0)</f>
        <v>1</v>
      </c>
      <c r="L14" s="44" t="str">
        <f aca="false">IF(K14&lt;=60%,"Needs Attention",IF(K14&lt;=85%,"Moderate","Strong"))</f>
        <v>Strong</v>
      </c>
      <c r="M14" s="44" t="str">
        <f aca="false">IF(K14&gt;=100%,"Achieved",IF(K14&gt;=50%,"In Progress","Not Achieved"))</f>
        <v>Achieved</v>
      </c>
    </row>
  </sheetData>
  <conditionalFormatting sqref="K2:K17">
    <cfRule type="cellIs" priority="2" operator="equal" aboveAverage="0" equalAverage="0" bottom="0" percent="0" rank="0" text="" dxfId="4">
      <formula>"Not Calculated"</formula>
    </cfRule>
  </conditionalFormatting>
  <conditionalFormatting sqref="K1:K17">
    <cfRule type="cellIs" priority="3" operator="equal" aboveAverage="0" equalAverage="0" bottom="0" percent="0" rank="0" text="" dxfId="5">
      <formula>"Low"</formula>
    </cfRule>
    <cfRule type="cellIs" priority="4" operator="equal" aboveAverage="0" equalAverage="0" bottom="0" percent="0" rank="0" text="" dxfId="6">
      <formula>"Medium"</formula>
    </cfRule>
    <cfRule type="cellIs" priority="5" operator="equal" aboveAverage="0" equalAverage="0" bottom="0" percent="0" rank="0" text="" dxfId="7">
      <formula>"High"</formula>
    </cfRule>
  </conditionalFormatting>
  <conditionalFormatting sqref="L2:L17">
    <cfRule type="cellIs" priority="6" operator="equal" aboveAverage="0" equalAverage="0" bottom="0" percent="0" rank="0" text="" dxfId="8">
      <formula>"Achieved"</formula>
    </cfRule>
    <cfRule type="cellIs" priority="7" operator="equal" aboveAverage="0" equalAverage="0" bottom="0" percent="0" rank="0" text="" dxfId="9">
      <formula>"In Progress"</formula>
    </cfRule>
    <cfRule type="cellIs" priority="8" operator="equal" aboveAverage="0" equalAverage="0" bottom="0" percent="0" rank="0" text="" dxfId="10">
      <formula>"Not Achieved"</formula>
    </cfRule>
  </conditionalFormatting>
  <dataValidations count="2">
    <dataValidation allowBlank="false" error="Please select a value from the Objective list." errorStyle="stop" errorTitle="Invalid Objective" operator="between" showDropDown="false" showErrorMessage="false" showInputMessage="false" sqref="B2:B14" type="list">
      <formula1>'Lookup Lists'!$A$2:$A$5</formula1>
      <formula2>0</formula2>
    </dataValidation>
    <dataValidation allowBlank="false" error="Please select a value from the Control Area list." errorStyle="stop" errorTitle="Invalid Control Area" operator="between" showDropDown="false" showErrorMessage="false" showInputMessage="false" sqref="C2:C14" type="list">
      <formula1>'Lookup Lists'!$B$2:$B$7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6"/>
  </cols>
  <sheetData>
    <row r="1" customFormat="false" ht="15" hidden="false" customHeight="true" outlineLevel="0" collapsed="false">
      <c r="A1" s="46" t="s">
        <v>34</v>
      </c>
      <c r="B1" s="46" t="s">
        <v>35</v>
      </c>
      <c r="D1" s="1" t="s">
        <v>103</v>
      </c>
      <c r="E1" s="1" t="s">
        <v>104</v>
      </c>
    </row>
    <row r="2" customFormat="false" ht="15" hidden="false" customHeight="true" outlineLevel="0" collapsed="false">
      <c r="A2" s="47" t="s">
        <v>46</v>
      </c>
      <c r="B2" s="47" t="s">
        <v>47</v>
      </c>
      <c r="D2" s="1" t="s">
        <v>26</v>
      </c>
      <c r="E2" s="1" t="s">
        <v>26</v>
      </c>
    </row>
    <row r="3" customFormat="false" ht="15" hidden="false" customHeight="true" outlineLevel="0" collapsed="false">
      <c r="A3" s="47" t="s">
        <v>53</v>
      </c>
      <c r="B3" s="47" t="s">
        <v>54</v>
      </c>
      <c r="D3" s="1" t="s">
        <v>46</v>
      </c>
      <c r="E3" s="1" t="s">
        <v>47</v>
      </c>
    </row>
    <row r="4" customFormat="false" ht="15" hidden="false" customHeight="true" outlineLevel="0" collapsed="false">
      <c r="A4" s="47" t="s">
        <v>68</v>
      </c>
      <c r="B4" s="47" t="s">
        <v>63</v>
      </c>
      <c r="D4" s="1" t="s">
        <v>53</v>
      </c>
      <c r="E4" s="1" t="s">
        <v>54</v>
      </c>
    </row>
    <row r="5" customFormat="false" ht="15" hidden="false" customHeight="true" outlineLevel="0" collapsed="false">
      <c r="A5" s="47" t="s">
        <v>73</v>
      </c>
      <c r="B5" s="47" t="s">
        <v>74</v>
      </c>
      <c r="D5" s="1" t="s">
        <v>68</v>
      </c>
      <c r="E5" s="1" t="s">
        <v>63</v>
      </c>
    </row>
    <row r="6" customFormat="false" ht="15" hidden="false" customHeight="true" outlineLevel="0" collapsed="false">
      <c r="B6" s="47" t="s">
        <v>82</v>
      </c>
      <c r="D6" s="1" t="s">
        <v>73</v>
      </c>
      <c r="E6" s="1" t="s">
        <v>74</v>
      </c>
    </row>
    <row r="7" customFormat="false" ht="15" hidden="false" customHeight="true" outlineLevel="0" collapsed="false">
      <c r="B7" s="47" t="s">
        <v>95</v>
      </c>
      <c r="E7" s="1" t="s">
        <v>82</v>
      </c>
    </row>
    <row r="8" customFormat="false" ht="15" hidden="false" customHeight="true" outlineLevel="0" collapsed="false">
      <c r="E8" s="1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6" activeCellId="0" sqref="K2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3"/>
    <col collapsed="false" customWidth="true" hidden="false" outlineLevel="0" max="5" min="4" style="1" width="32"/>
    <col collapsed="false" customWidth="true" hidden="false" outlineLevel="0" max="6" min="6" style="1" width="3"/>
    <col collapsed="false" customWidth="true" hidden="false" outlineLevel="0" max="7" min="7" style="1" width="26"/>
    <col collapsed="false" customWidth="true" hidden="false" outlineLevel="0" max="8" min="8" style="1" width="18"/>
    <col collapsed="false" customWidth="true" hidden="false" outlineLevel="0" max="10" min="9" style="1" width="11.27"/>
  </cols>
  <sheetData>
    <row r="1" customFormat="false" ht="14.25" hidden="false" customHeight="true" outlineLevel="0" collapsed="false">
      <c r="A1" s="48" t="s">
        <v>105</v>
      </c>
      <c r="D1" s="48" t="s">
        <v>106</v>
      </c>
      <c r="G1" s="48" t="s">
        <v>107</v>
      </c>
      <c r="J1" s="1" t="s">
        <v>108</v>
      </c>
    </row>
    <row r="2" customFormat="false" ht="14.25" hidden="false" customHeight="true" outlineLevel="0" collapsed="false">
      <c r="A2" s="49" t="s">
        <v>109</v>
      </c>
      <c r="B2" s="49" t="s">
        <v>110</v>
      </c>
      <c r="D2" s="49" t="s">
        <v>34</v>
      </c>
      <c r="E2" s="49" t="s">
        <v>111</v>
      </c>
      <c r="G2" s="49" t="s">
        <v>35</v>
      </c>
      <c r="H2" s="49" t="s">
        <v>111</v>
      </c>
      <c r="J2" s="1" t="s">
        <v>34</v>
      </c>
      <c r="K2" s="1" t="str">
        <f aca="false">FilterObjective</f>
        <v>All</v>
      </c>
    </row>
    <row r="3" customFormat="false" ht="14.25" hidden="false" customHeight="true" outlineLevel="0" collapsed="false">
      <c r="A3" s="47" t="s">
        <v>112</v>
      </c>
      <c r="B3" s="50" t="n">
        <f aca="false">COUNTIFS(tblKPILog[Objective],$K$4,tblKPILog[Control Area],$K$5)</f>
        <v>13</v>
      </c>
      <c r="D3" s="47" t="s">
        <v>46</v>
      </c>
      <c r="E3" s="51" t="n">
        <f aca="false">IFERROR(AVERAGEIFS(tblKPILog[Achievement %],tblKPILog[Objective],D3,tblKPILog[Objective],$K$4,tblKPILog[Control Area],$K$5),0)</f>
        <v>1</v>
      </c>
      <c r="G3" s="47" t="s">
        <v>47</v>
      </c>
      <c r="H3" s="51" t="n">
        <f aca="false">IFERROR(AVERAGEIFS(tblKPILog[Achievement %],tblKPILog[Control Area],G3,tblKPILog[Control Area],$K$5,tblKPILog[Objective],$K$4),0)</f>
        <v>1</v>
      </c>
      <c r="J3" s="1" t="s">
        <v>35</v>
      </c>
      <c r="K3" s="1" t="str">
        <f aca="false">FilterControlArea</f>
        <v>All</v>
      </c>
    </row>
    <row r="4" customFormat="false" ht="14.25" hidden="false" customHeight="true" outlineLevel="0" collapsed="false">
      <c r="A4" s="47" t="s">
        <v>113</v>
      </c>
      <c r="B4" s="51" t="n">
        <f aca="false">IFERROR(AVERAGEIFS(tblKPILog[Achievement %],tblKPILog[Objective],$K$4,tblKPILog[Control Area],$K$5),0)</f>
        <v>0.976923076923077</v>
      </c>
      <c r="D4" s="47" t="s">
        <v>53</v>
      </c>
      <c r="E4" s="51" t="n">
        <f aca="false">IFERROR(AVERAGEIFS(tblKPILog[Achievement %],tblKPILog[Objective],D4,tblKPILog[Objective],$K$4,tblKPILog[Control Area],$K$5),0)</f>
        <v>0.925</v>
      </c>
      <c r="G4" s="47" t="s">
        <v>54</v>
      </c>
      <c r="H4" s="51" t="n">
        <f aca="false">IFERROR(AVERAGEIFS(tblKPILog[Achievement %],tblKPILog[Control Area],G4,tblKPILog[Control Area],$K$5,tblKPILog[Objective],$K$4),0)</f>
        <v>0.85</v>
      </c>
      <c r="J4" s="1" t="s">
        <v>114</v>
      </c>
      <c r="K4" s="1" t="str">
        <f aca="false">IF(K2="All","&lt;&gt;",K2)</f>
        <v>&lt;&gt;</v>
      </c>
    </row>
    <row r="5" customFormat="false" ht="14.25" hidden="false" customHeight="true" outlineLevel="0" collapsed="false">
      <c r="A5" s="47" t="s">
        <v>115</v>
      </c>
      <c r="B5" s="50" t="n">
        <f aca="false">COUNTIFS(tblKPILog[Achievement Status],"Achieved",tblKPILog[Objective],$K$4,tblKPILog[Control Area],$K$5)</f>
        <v>12</v>
      </c>
      <c r="D5" s="47" t="s">
        <v>73</v>
      </c>
      <c r="E5" s="51" t="n">
        <f aca="false">IFERROR(AVERAGEIFS(tblKPILog[Achievement %],tblKPILog[Objective],D5,tblKPILog[Objective],$K$4,tblKPILog[Control Area],$K$5),0)</f>
        <v>1</v>
      </c>
      <c r="G5" s="47" t="s">
        <v>63</v>
      </c>
      <c r="H5" s="51" t="n">
        <f aca="false">IFERROR(AVERAGEIFS(tblKPILog[Achievement %],tblKPILog[Control Area],G5,tblKPILog[Control Area],$K$5,tblKPILog[Objective],$K$4),0)</f>
        <v>1</v>
      </c>
      <c r="J5" s="1" t="s">
        <v>116</v>
      </c>
      <c r="K5" s="1" t="str">
        <f aca="false">IF(K3="All","&lt;&gt;",K3)</f>
        <v>&lt;&gt;</v>
      </c>
    </row>
    <row r="6" customFormat="false" ht="14.25" hidden="false" customHeight="true" outlineLevel="0" collapsed="false">
      <c r="A6" s="47" t="s">
        <v>117</v>
      </c>
      <c r="B6" s="50" t="n">
        <f aca="false">COUNTIFS(tblKPILog[Achievement Status],"In Progress",tblKPILog[Objective],$K$4,tblKPILog[Control Area],$K$5)</f>
        <v>1</v>
      </c>
      <c r="D6" s="47" t="s">
        <v>68</v>
      </c>
      <c r="E6" s="51" t="n">
        <f aca="false">IFERROR(AVERAGEIFS(tblKPILog[Achievement %],tblKPILog[Objective],D6,tblKPILog[Objective],$K$4,tblKPILog[Control Area],$K$5),0)</f>
        <v>1</v>
      </c>
      <c r="G6" s="47" t="s">
        <v>74</v>
      </c>
      <c r="H6" s="51" t="n">
        <f aca="false">IFERROR(AVERAGEIFS(tblKPILog[Achievement %],tblKPILog[Control Area],G6,tblKPILog[Control Area],$K$5,tblKPILog[Objective],$K$4),0)</f>
        <v>1</v>
      </c>
    </row>
    <row r="7" customFormat="false" ht="14.25" hidden="false" customHeight="true" outlineLevel="0" collapsed="false">
      <c r="A7" s="47" t="s">
        <v>118</v>
      </c>
      <c r="B7" s="50" t="n">
        <f aca="false">COUNTIFS(tblKPILog[Performance Level],"Needs Attention",tblKPILog[Objective],$K$4,tblKPILog[Control Area],$K$5)</f>
        <v>0</v>
      </c>
      <c r="G7" s="47" t="s">
        <v>82</v>
      </c>
      <c r="H7" s="51" t="n">
        <f aca="false">IFERROR(AVERAGEIFS(tblKPILog[Achievement %],tblKPILog[Control Area],G7,tblKPILog[Control Area],$K$5,tblKPILog[Objective],$K$4),0)</f>
        <v>1</v>
      </c>
    </row>
    <row r="8" customFormat="false" ht="14.25" hidden="false" customHeight="true" outlineLevel="0" collapsed="false">
      <c r="A8" s="47" t="s">
        <v>119</v>
      </c>
      <c r="B8" s="50" t="n">
        <f aca="false">COUNTIFS(tblKPILog[Performance Level],"Strong",tblKPILog[Objective],$K$4,tblKPILog[Control Area],$K$5)</f>
        <v>12</v>
      </c>
      <c r="D8" s="48" t="s">
        <v>120</v>
      </c>
      <c r="G8" s="47" t="s">
        <v>95</v>
      </c>
      <c r="H8" s="51" t="n">
        <f aca="false">IFERROR(AVERAGEIFS(tblKPILog[Achievement %],tblKPILog[Control Area],G8,tblKPILog[Control Area],$K$5,tblKPILog[Objective],$K$4),0)</f>
        <v>1</v>
      </c>
    </row>
    <row r="9" customFormat="false" ht="14.25" hidden="false" customHeight="true" outlineLevel="0" collapsed="false">
      <c r="D9" s="49" t="s">
        <v>121</v>
      </c>
      <c r="E9" s="49" t="s">
        <v>122</v>
      </c>
    </row>
    <row r="10" customFormat="false" ht="14.25" hidden="false" customHeight="true" outlineLevel="0" collapsed="false">
      <c r="D10" s="47" t="s">
        <v>123</v>
      </c>
      <c r="E10" s="50" t="n">
        <f aca="false">COUNTIFS(tblKPILog[Achievement Status],D10,tblKPILog[Objective],$K$4,tblKPILog[Control Area],$K$5)</f>
        <v>12</v>
      </c>
    </row>
    <row r="11" customFormat="false" ht="14.25" hidden="false" customHeight="true" outlineLevel="0" collapsed="false">
      <c r="D11" s="47" t="s">
        <v>117</v>
      </c>
      <c r="E11" s="50" t="n">
        <f aca="false">COUNTIFS(tblKPILog[Achievement Status],D11,tblKPILog[Objective],$K$4,tblKPILog[Control Area],$K$5)</f>
        <v>1</v>
      </c>
    </row>
    <row r="12" customFormat="false" ht="14.25" hidden="false" customHeight="true" outlineLevel="0" collapsed="false">
      <c r="D12" s="47" t="s">
        <v>124</v>
      </c>
      <c r="E12" s="50" t="n">
        <f aca="false">COUNTIFS(tblKPILog[Achievement Status],D12,tblKPILog[Objective],$K$4,tblKPILog[Control Area],$K$5)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2023-01-16T18:19:35Z</dcterms:created>
  <dc:creator>Ali Afzal</dc:creator>
  <dc:description/>
  <dc:language>en-US</dc:language>
  <cp:lastModifiedBy/>
  <dcterms:modified xsi:type="dcterms:W3CDTF">2026-08-12T10:34:53Z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